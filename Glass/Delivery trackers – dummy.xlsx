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xr:revisionPtr revIDLastSave="0" documentId="8_{F7379081-596D-4DCF-AEC0-8BA56858661E}" xr6:coauthVersionLast="47" xr6:coauthVersionMax="47" xr10:uidLastSave="{00000000-0000-0000-0000-000000000000}"/>
  <bookViews>
    <workbookView xWindow="0" yWindow="0" windowWidth="0" windowHeight="0" xr2:uid="{00000000-000D-0000-FFFF-FFFF00000000}"/>
  </bookViews>
  <sheets>
    <sheet name="Client master tracker" sheetId="1" r:id="rId1"/>
    <sheet name="Project tracker" sheetId="2" r:id="rId2"/>
    <sheet name="Deliverable tracker" sheetId="3" r:id="rId3"/>
    <sheet name="Asset tracker" sheetId="4" r:id="rId4"/>
    <sheet name="Revision tracker" sheetId="5" r:id="rId5"/>
    <sheet name="Client health check scorecard" sheetId="6" r:id="rId6"/>
  </sheets>
  <definedNames>
    <definedName name="_xlnm._FilterDatabase" localSheetId="0" hidden="1">'Client master tracker'!$A$10:$I$210</definedName>
    <definedName name="_xlnm._FilterDatabase" localSheetId="1" hidden="1">'Project tracker'!$A$10:$K$210</definedName>
    <definedName name="_xlnm._FilterDatabase" localSheetId="2" hidden="1">'Deliverable tracker'!$A$10:$L$210</definedName>
    <definedName name="_xlnm._FilterDatabase" localSheetId="3" hidden="1">'Asset tracker'!$A$10:$L$210</definedName>
    <definedName name="_xlnm._FilterDatabase" localSheetId="4" hidden="1">'Revision tracker'!$A$10:$M$210</definedName>
    <definedName name="_xlnm._FilterDatabase" localSheetId="5" hidden="1">'Client health check scorecard'!$A$17:$J$217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79" i="1" l="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H217" i="6"/>
  <c r="I217" i="6" s="1"/>
  <c r="H216" i="6"/>
  <c r="I216" i="6" s="1"/>
  <c r="H215" i="6"/>
  <c r="I215" i="6" s="1"/>
  <c r="H214" i="6"/>
  <c r="I214" i="6" s="1"/>
  <c r="H213" i="6"/>
  <c r="I213" i="6" s="1"/>
  <c r="H212" i="6"/>
  <c r="I212" i="6" s="1"/>
  <c r="H211" i="6"/>
  <c r="I211" i="6" s="1"/>
  <c r="H210" i="6"/>
  <c r="I210" i="6" s="1"/>
  <c r="H209" i="6"/>
  <c r="I209" i="6" s="1"/>
  <c r="H208" i="6"/>
  <c r="I208" i="6" s="1"/>
  <c r="H207" i="6"/>
  <c r="I207" i="6" s="1"/>
  <c r="H206" i="6"/>
  <c r="I206" i="6" s="1"/>
  <c r="H205" i="6"/>
  <c r="I205" i="6" s="1"/>
  <c r="H204" i="6"/>
  <c r="I204" i="6" s="1"/>
  <c r="H203" i="6"/>
  <c r="I203" i="6" s="1"/>
  <c r="H202" i="6"/>
  <c r="I202" i="6" s="1"/>
  <c r="H201" i="6"/>
  <c r="I201" i="6" s="1"/>
  <c r="H200" i="6"/>
  <c r="I200" i="6" s="1"/>
  <c r="H199" i="6"/>
  <c r="I199" i="6" s="1"/>
  <c r="H198" i="6"/>
  <c r="I198" i="6" s="1"/>
  <c r="H197" i="6"/>
  <c r="I197" i="6" s="1"/>
  <c r="H196" i="6"/>
  <c r="I196" i="6" s="1"/>
  <c r="H195" i="6"/>
  <c r="I195" i="6" s="1"/>
  <c r="H194" i="6"/>
  <c r="I194" i="6" s="1"/>
  <c r="H193" i="6"/>
  <c r="I193" i="6" s="1"/>
  <c r="H192" i="6"/>
  <c r="I192" i="6" s="1"/>
  <c r="H191" i="6"/>
  <c r="I191" i="6" s="1"/>
  <c r="H190" i="6"/>
  <c r="I190" i="6" s="1"/>
  <c r="H189" i="6"/>
  <c r="I189" i="6" s="1"/>
  <c r="H188" i="6"/>
  <c r="I188" i="6" s="1"/>
  <c r="H187" i="6"/>
  <c r="I187" i="6" s="1"/>
  <c r="H186" i="6"/>
  <c r="I186" i="6" s="1"/>
  <c r="H185" i="6"/>
  <c r="I185" i="6" s="1"/>
  <c r="H184" i="6"/>
  <c r="I184" i="6" s="1"/>
  <c r="H183" i="6"/>
  <c r="I183" i="6" s="1"/>
  <c r="H182" i="6"/>
  <c r="I182" i="6" s="1"/>
  <c r="H181" i="6"/>
  <c r="I181" i="6" s="1"/>
  <c r="H180" i="6"/>
  <c r="I180" i="6" s="1"/>
  <c r="H179" i="6"/>
  <c r="I179" i="6" s="1"/>
  <c r="H178" i="6"/>
  <c r="I178" i="6" s="1"/>
  <c r="H177" i="6"/>
  <c r="I177" i="6" s="1"/>
  <c r="H176" i="6"/>
  <c r="I176" i="6" s="1"/>
  <c r="H175" i="6"/>
  <c r="I175" i="6" s="1"/>
  <c r="H174" i="6"/>
  <c r="I174" i="6" s="1"/>
  <c r="H173" i="6"/>
  <c r="I173" i="6" s="1"/>
  <c r="H172" i="6"/>
  <c r="I172" i="6" s="1"/>
  <c r="H171" i="6"/>
  <c r="I171" i="6" s="1"/>
  <c r="H170" i="6"/>
  <c r="I170" i="6" s="1"/>
  <c r="H169" i="6"/>
  <c r="I169" i="6" s="1"/>
  <c r="H168" i="6"/>
  <c r="I168" i="6" s="1"/>
  <c r="H167" i="6"/>
  <c r="I167" i="6" s="1"/>
  <c r="H166" i="6"/>
  <c r="I166" i="6" s="1"/>
  <c r="H165" i="6"/>
  <c r="I165" i="6" s="1"/>
  <c r="H164" i="6"/>
  <c r="I164" i="6" s="1"/>
  <c r="H163" i="6"/>
  <c r="I163" i="6" s="1"/>
  <c r="H162" i="6"/>
  <c r="I162" i="6" s="1"/>
  <c r="H161" i="6"/>
  <c r="I161" i="6" s="1"/>
  <c r="H160" i="6"/>
  <c r="I160" i="6" s="1"/>
  <c r="H159" i="6"/>
  <c r="I159" i="6" s="1"/>
  <c r="H158" i="6"/>
  <c r="I158" i="6" s="1"/>
  <c r="H157" i="6"/>
  <c r="I157" i="6" s="1"/>
  <c r="H156" i="6"/>
  <c r="I156" i="6" s="1"/>
  <c r="H155" i="6"/>
  <c r="I155" i="6" s="1"/>
  <c r="H154" i="6"/>
  <c r="I154" i="6" s="1"/>
  <c r="H153" i="6"/>
  <c r="I153" i="6" s="1"/>
  <c r="H152" i="6"/>
  <c r="I152" i="6" s="1"/>
  <c r="H151" i="6"/>
  <c r="I151" i="6" s="1"/>
  <c r="H150" i="6"/>
  <c r="I150" i="6" s="1"/>
  <c r="H149" i="6"/>
  <c r="I149" i="6" s="1"/>
  <c r="H148" i="6"/>
  <c r="I148" i="6" s="1"/>
  <c r="H147" i="6"/>
  <c r="I147" i="6" s="1"/>
  <c r="H146" i="6"/>
  <c r="I146" i="6" s="1"/>
  <c r="H145" i="6"/>
  <c r="I145" i="6" s="1"/>
  <c r="H144" i="6"/>
  <c r="I144" i="6" s="1"/>
  <c r="H143" i="6"/>
  <c r="I143" i="6" s="1"/>
  <c r="H142" i="6"/>
  <c r="I142" i="6" s="1"/>
  <c r="H141" i="6"/>
  <c r="I141" i="6" s="1"/>
  <c r="H140" i="6"/>
  <c r="I140" i="6" s="1"/>
  <c r="H139" i="6"/>
  <c r="I139" i="6" s="1"/>
  <c r="H138" i="6"/>
  <c r="I138" i="6" s="1"/>
  <c r="H137" i="6"/>
  <c r="I137" i="6" s="1"/>
  <c r="H136" i="6"/>
  <c r="I136" i="6" s="1"/>
  <c r="H135" i="6"/>
  <c r="I135" i="6" s="1"/>
  <c r="H134" i="6"/>
  <c r="I134" i="6" s="1"/>
  <c r="H133" i="6"/>
  <c r="I133" i="6" s="1"/>
  <c r="H132" i="6"/>
  <c r="I132" i="6" s="1"/>
  <c r="H131" i="6"/>
  <c r="I131" i="6" s="1"/>
  <c r="H130" i="6"/>
  <c r="I130" i="6" s="1"/>
  <c r="H129" i="6"/>
  <c r="I129" i="6" s="1"/>
  <c r="H128" i="6"/>
  <c r="I128" i="6" s="1"/>
  <c r="H127" i="6"/>
  <c r="I127" i="6" s="1"/>
  <c r="H126" i="6"/>
  <c r="I126" i="6" s="1"/>
  <c r="H125" i="6"/>
  <c r="I125" i="6" s="1"/>
  <c r="H124" i="6"/>
  <c r="I124" i="6" s="1"/>
  <c r="H123" i="6"/>
  <c r="I123" i="6" s="1"/>
  <c r="H122" i="6"/>
  <c r="I122" i="6" s="1"/>
  <c r="H121" i="6"/>
  <c r="I121" i="6" s="1"/>
  <c r="H120" i="6"/>
  <c r="I120" i="6" s="1"/>
  <c r="H119" i="6"/>
  <c r="I119" i="6" s="1"/>
  <c r="H118" i="6"/>
  <c r="I118" i="6" s="1"/>
  <c r="H117" i="6"/>
  <c r="I117" i="6" s="1"/>
  <c r="H116" i="6"/>
  <c r="I116" i="6" s="1"/>
  <c r="H115" i="6"/>
  <c r="I115" i="6" s="1"/>
  <c r="H114" i="6"/>
  <c r="I114" i="6" s="1"/>
  <c r="H113" i="6"/>
  <c r="I113" i="6" s="1"/>
  <c r="H112" i="6"/>
  <c r="I112" i="6" s="1"/>
  <c r="H111" i="6"/>
  <c r="I111" i="6" s="1"/>
  <c r="H110" i="6"/>
  <c r="I110" i="6" s="1"/>
  <c r="H109" i="6"/>
  <c r="I109" i="6" s="1"/>
  <c r="H108" i="6"/>
  <c r="I108" i="6" s="1"/>
  <c r="H107" i="6"/>
  <c r="I107" i="6" s="1"/>
  <c r="H106" i="6"/>
  <c r="I106" i="6" s="1"/>
  <c r="H105" i="6"/>
  <c r="I105" i="6" s="1"/>
  <c r="H104" i="6"/>
  <c r="I104" i="6" s="1"/>
  <c r="H103" i="6"/>
  <c r="I103" i="6" s="1"/>
  <c r="H102" i="6"/>
  <c r="I102" i="6" s="1"/>
  <c r="H101" i="6"/>
  <c r="I101" i="6" s="1"/>
  <c r="H100" i="6"/>
  <c r="I100" i="6" s="1"/>
  <c r="H99" i="6"/>
  <c r="I99" i="6" s="1"/>
  <c r="H98" i="6"/>
  <c r="I98" i="6" s="1"/>
  <c r="H97" i="6"/>
  <c r="I97" i="6" s="1"/>
  <c r="H96" i="6"/>
  <c r="I96" i="6" s="1"/>
  <c r="H95" i="6"/>
  <c r="I95" i="6" s="1"/>
  <c r="H94" i="6"/>
  <c r="I94" i="6" s="1"/>
  <c r="H93" i="6"/>
  <c r="I93" i="6" s="1"/>
  <c r="H92" i="6"/>
  <c r="I92" i="6" s="1"/>
  <c r="H91" i="6"/>
  <c r="I91" i="6" s="1"/>
  <c r="H90" i="6"/>
  <c r="I90" i="6" s="1"/>
  <c r="H89" i="6"/>
  <c r="I89" i="6" s="1"/>
  <c r="H88" i="6"/>
  <c r="I88" i="6" s="1"/>
  <c r="H87" i="6"/>
  <c r="I87" i="6" s="1"/>
  <c r="H86" i="6"/>
  <c r="I86" i="6" s="1"/>
  <c r="H85" i="6"/>
  <c r="I85" i="6" s="1"/>
  <c r="H84" i="6"/>
  <c r="I84" i="6" s="1"/>
  <c r="H83" i="6"/>
  <c r="I83" i="6" s="1"/>
  <c r="H82" i="6"/>
  <c r="I82" i="6" s="1"/>
  <c r="H81" i="6"/>
  <c r="I81" i="6" s="1"/>
  <c r="H80" i="6"/>
  <c r="I80" i="6" s="1"/>
  <c r="H79" i="6"/>
  <c r="I79" i="6" s="1"/>
  <c r="H78" i="6"/>
  <c r="I78" i="6" s="1"/>
  <c r="H77" i="6"/>
  <c r="I77" i="6" s="1"/>
  <c r="H76" i="6"/>
  <c r="I76" i="6" s="1"/>
  <c r="H75" i="6"/>
  <c r="I75" i="6" s="1"/>
  <c r="H74" i="6"/>
  <c r="I74" i="6" s="1"/>
  <c r="H73" i="6"/>
  <c r="I73" i="6" s="1"/>
  <c r="H72" i="6"/>
  <c r="I72" i="6" s="1"/>
  <c r="H71" i="6"/>
  <c r="I71" i="6" s="1"/>
  <c r="H70" i="6"/>
  <c r="I70" i="6" s="1"/>
  <c r="H69" i="6"/>
  <c r="I69" i="6" s="1"/>
  <c r="H68" i="6"/>
  <c r="I68" i="6" s="1"/>
  <c r="H67" i="6"/>
  <c r="I67" i="6" s="1"/>
  <c r="H66" i="6"/>
  <c r="I66" i="6" s="1"/>
  <c r="H65" i="6"/>
  <c r="I65" i="6" s="1"/>
  <c r="H64" i="6"/>
  <c r="I64" i="6" s="1"/>
  <c r="H63" i="6"/>
  <c r="I63" i="6" s="1"/>
  <c r="H62" i="6"/>
  <c r="I62" i="6" s="1"/>
  <c r="H61" i="6"/>
  <c r="I61" i="6" s="1"/>
  <c r="H60" i="6"/>
  <c r="I60" i="6" s="1"/>
  <c r="H59" i="6"/>
  <c r="I59" i="6" s="1"/>
  <c r="H58" i="6"/>
  <c r="I58" i="6" s="1"/>
  <c r="H57" i="6"/>
  <c r="I57" i="6" s="1"/>
  <c r="H56" i="6"/>
  <c r="I56" i="6" s="1"/>
  <c r="H55" i="6"/>
  <c r="I55" i="6" s="1"/>
  <c r="H54" i="6"/>
  <c r="I54" i="6" s="1"/>
  <c r="H53" i="6"/>
  <c r="I53" i="6" s="1"/>
  <c r="H52" i="6"/>
  <c r="I52" i="6" s="1"/>
  <c r="H51" i="6"/>
  <c r="I51" i="6" s="1"/>
  <c r="H50" i="6"/>
  <c r="I50" i="6" s="1"/>
  <c r="H49" i="6"/>
  <c r="I49" i="6" s="1"/>
  <c r="H48" i="6"/>
  <c r="I48" i="6" s="1"/>
  <c r="H47" i="6"/>
  <c r="I47" i="6" s="1"/>
  <c r="H46" i="6"/>
  <c r="I46" i="6" s="1"/>
  <c r="H45" i="6"/>
  <c r="I45" i="6" s="1"/>
  <c r="H44" i="6"/>
  <c r="I44" i="6" s="1"/>
  <c r="H43" i="6"/>
  <c r="I43" i="6" s="1"/>
  <c r="H42" i="6"/>
  <c r="I42" i="6" s="1"/>
  <c r="H41" i="6"/>
  <c r="I41" i="6" s="1"/>
  <c r="H40" i="6"/>
  <c r="I40" i="6" s="1"/>
  <c r="H39" i="6"/>
  <c r="I39" i="6" s="1"/>
  <c r="H38" i="6"/>
  <c r="I38" i="6" s="1"/>
  <c r="H37" i="6"/>
  <c r="I37" i="6" s="1"/>
  <c r="H36" i="6"/>
  <c r="I36" i="6" s="1"/>
  <c r="H35" i="6"/>
  <c r="I35" i="6" s="1"/>
  <c r="H34" i="6"/>
  <c r="I34" i="6" s="1"/>
  <c r="H33" i="6"/>
  <c r="I33" i="6" s="1"/>
  <c r="H32" i="6"/>
  <c r="I32" i="6" s="1"/>
  <c r="H31" i="6"/>
  <c r="I31" i="6" s="1"/>
  <c r="H30" i="6"/>
  <c r="I30" i="6" s="1"/>
  <c r="H29" i="6"/>
  <c r="I29" i="6" s="1"/>
  <c r="H28" i="6"/>
  <c r="I28" i="6" s="1"/>
  <c r="H27" i="6"/>
  <c r="I27" i="6" s="1"/>
  <c r="H26" i="6"/>
  <c r="I26" i="6" s="1"/>
  <c r="H25" i="6"/>
  <c r="I25" i="6" s="1"/>
  <c r="H24" i="6"/>
  <c r="I24" i="6" s="1"/>
  <c r="H23" i="6"/>
  <c r="I23" i="6" s="1"/>
  <c r="H22" i="6"/>
  <c r="I22" i="6" s="1"/>
  <c r="H21" i="6"/>
  <c r="I21" i="6" s="1"/>
  <c r="H20" i="6"/>
  <c r="I20" i="6" s="1"/>
  <c r="H19" i="6"/>
  <c r="I19" i="6" s="1"/>
  <c r="H18" i="6"/>
  <c r="I18" i="6" s="1"/>
  <c r="I5" i="6"/>
  <c r="F5" i="6"/>
  <c r="C5" i="6"/>
  <c r="A5" i="6"/>
  <c r="H210" i="5"/>
  <c r="H209" i="5"/>
  <c r="H208" i="5"/>
  <c r="H207" i="5"/>
  <c r="H206"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J5" i="5"/>
  <c r="F5" i="5"/>
  <c r="C5" i="5"/>
  <c r="A5" i="5"/>
  <c r="K210" i="4"/>
  <c r="J210" i="4"/>
  <c r="K209" i="4"/>
  <c r="J209" i="4"/>
  <c r="K208" i="4"/>
  <c r="J208" i="4"/>
  <c r="K207" i="4"/>
  <c r="J207" i="4"/>
  <c r="K206" i="4"/>
  <c r="J206" i="4"/>
  <c r="K205" i="4"/>
  <c r="J205" i="4"/>
  <c r="K204" i="4"/>
  <c r="J204" i="4"/>
  <c r="K203" i="4"/>
  <c r="J203" i="4"/>
  <c r="K202" i="4"/>
  <c r="J202" i="4"/>
  <c r="K201" i="4"/>
  <c r="J201" i="4"/>
  <c r="K200" i="4"/>
  <c r="J200" i="4"/>
  <c r="K199" i="4"/>
  <c r="J199" i="4"/>
  <c r="K198" i="4"/>
  <c r="J198" i="4"/>
  <c r="K197" i="4"/>
  <c r="J197" i="4"/>
  <c r="K196" i="4"/>
  <c r="J196" i="4"/>
  <c r="K195" i="4"/>
  <c r="J195" i="4"/>
  <c r="K194" i="4"/>
  <c r="J194" i="4"/>
  <c r="K193" i="4"/>
  <c r="J193" i="4"/>
  <c r="K192" i="4"/>
  <c r="J192" i="4"/>
  <c r="K191" i="4"/>
  <c r="J191" i="4"/>
  <c r="K190" i="4"/>
  <c r="J190" i="4"/>
  <c r="K189" i="4"/>
  <c r="J189" i="4"/>
  <c r="K188" i="4"/>
  <c r="J188" i="4"/>
  <c r="K187" i="4"/>
  <c r="J187" i="4"/>
  <c r="K186" i="4"/>
  <c r="J186" i="4"/>
  <c r="K185" i="4"/>
  <c r="J185" i="4"/>
  <c r="K184" i="4"/>
  <c r="J184" i="4"/>
  <c r="K183" i="4"/>
  <c r="J183" i="4"/>
  <c r="K182" i="4"/>
  <c r="J182" i="4"/>
  <c r="K181" i="4"/>
  <c r="J181" i="4"/>
  <c r="K180" i="4"/>
  <c r="J180" i="4"/>
  <c r="K179" i="4"/>
  <c r="J179" i="4"/>
  <c r="K178" i="4"/>
  <c r="J178" i="4"/>
  <c r="K177" i="4"/>
  <c r="J177" i="4"/>
  <c r="K176" i="4"/>
  <c r="J176" i="4"/>
  <c r="K175" i="4"/>
  <c r="J175" i="4"/>
  <c r="K174" i="4"/>
  <c r="J174" i="4"/>
  <c r="K173" i="4"/>
  <c r="J173" i="4"/>
  <c r="K172" i="4"/>
  <c r="J172" i="4"/>
  <c r="K171" i="4"/>
  <c r="J171" i="4"/>
  <c r="K170" i="4"/>
  <c r="J170" i="4"/>
  <c r="K169" i="4"/>
  <c r="J169" i="4"/>
  <c r="K168" i="4"/>
  <c r="J168" i="4"/>
  <c r="K167" i="4"/>
  <c r="J167" i="4"/>
  <c r="K166" i="4"/>
  <c r="J166" i="4"/>
  <c r="K165" i="4"/>
  <c r="J165" i="4"/>
  <c r="K164" i="4"/>
  <c r="J164" i="4"/>
  <c r="K163" i="4"/>
  <c r="J163" i="4"/>
  <c r="K162" i="4"/>
  <c r="J162" i="4"/>
  <c r="K161" i="4"/>
  <c r="J161" i="4"/>
  <c r="K160" i="4"/>
  <c r="J160" i="4"/>
  <c r="K159" i="4"/>
  <c r="J159" i="4"/>
  <c r="K158" i="4"/>
  <c r="J158" i="4"/>
  <c r="K157" i="4"/>
  <c r="J157" i="4"/>
  <c r="K156" i="4"/>
  <c r="J156" i="4"/>
  <c r="K155" i="4"/>
  <c r="J155" i="4"/>
  <c r="K154" i="4"/>
  <c r="J154" i="4"/>
  <c r="K153" i="4"/>
  <c r="J153" i="4"/>
  <c r="K152" i="4"/>
  <c r="J152" i="4"/>
  <c r="K151" i="4"/>
  <c r="J151" i="4"/>
  <c r="K150" i="4"/>
  <c r="J150" i="4"/>
  <c r="K149" i="4"/>
  <c r="J149" i="4"/>
  <c r="K148" i="4"/>
  <c r="J148" i="4"/>
  <c r="K147" i="4"/>
  <c r="J147" i="4"/>
  <c r="K146" i="4"/>
  <c r="J146" i="4"/>
  <c r="K145" i="4"/>
  <c r="J145" i="4"/>
  <c r="K144" i="4"/>
  <c r="J144" i="4"/>
  <c r="K143" i="4"/>
  <c r="J143" i="4"/>
  <c r="K142" i="4"/>
  <c r="J142" i="4"/>
  <c r="K141" i="4"/>
  <c r="J141" i="4"/>
  <c r="K140" i="4"/>
  <c r="J140" i="4"/>
  <c r="K139" i="4"/>
  <c r="J139" i="4"/>
  <c r="K138" i="4"/>
  <c r="J138" i="4"/>
  <c r="K137" i="4"/>
  <c r="J137" i="4"/>
  <c r="K136" i="4"/>
  <c r="J136" i="4"/>
  <c r="K135" i="4"/>
  <c r="J135" i="4"/>
  <c r="K134" i="4"/>
  <c r="J134" i="4"/>
  <c r="K133" i="4"/>
  <c r="J133" i="4"/>
  <c r="K132" i="4"/>
  <c r="J132" i="4"/>
  <c r="K131" i="4"/>
  <c r="J131" i="4"/>
  <c r="K130" i="4"/>
  <c r="J130" i="4"/>
  <c r="K129" i="4"/>
  <c r="J129" i="4"/>
  <c r="K128" i="4"/>
  <c r="J128" i="4"/>
  <c r="K127" i="4"/>
  <c r="J127" i="4"/>
  <c r="K126" i="4"/>
  <c r="J126" i="4"/>
  <c r="K125" i="4"/>
  <c r="J125" i="4"/>
  <c r="K124" i="4"/>
  <c r="J124" i="4"/>
  <c r="K123" i="4"/>
  <c r="J123" i="4"/>
  <c r="K122" i="4"/>
  <c r="J122" i="4"/>
  <c r="K121" i="4"/>
  <c r="J121" i="4"/>
  <c r="K120" i="4"/>
  <c r="J120" i="4"/>
  <c r="K119" i="4"/>
  <c r="J119" i="4"/>
  <c r="K118" i="4"/>
  <c r="J118" i="4"/>
  <c r="K117" i="4"/>
  <c r="J117" i="4"/>
  <c r="K116" i="4"/>
  <c r="J116" i="4"/>
  <c r="K115" i="4"/>
  <c r="J115" i="4"/>
  <c r="K114" i="4"/>
  <c r="J114" i="4"/>
  <c r="K113" i="4"/>
  <c r="J113" i="4"/>
  <c r="K112" i="4"/>
  <c r="J112" i="4"/>
  <c r="K111" i="4"/>
  <c r="J111" i="4"/>
  <c r="K110" i="4"/>
  <c r="J110" i="4"/>
  <c r="K109" i="4"/>
  <c r="J109" i="4"/>
  <c r="K108" i="4"/>
  <c r="J108" i="4"/>
  <c r="K107" i="4"/>
  <c r="J107" i="4"/>
  <c r="K106" i="4"/>
  <c r="J106" i="4"/>
  <c r="K105" i="4"/>
  <c r="J105" i="4"/>
  <c r="K104" i="4"/>
  <c r="J104" i="4"/>
  <c r="K103" i="4"/>
  <c r="J103" i="4"/>
  <c r="K102" i="4"/>
  <c r="J102" i="4"/>
  <c r="K101" i="4"/>
  <c r="J101" i="4"/>
  <c r="K100" i="4"/>
  <c r="J100" i="4"/>
  <c r="K99" i="4"/>
  <c r="J99" i="4"/>
  <c r="K98" i="4"/>
  <c r="J98" i="4"/>
  <c r="K97" i="4"/>
  <c r="J97" i="4"/>
  <c r="K96" i="4"/>
  <c r="J96" i="4"/>
  <c r="K95" i="4"/>
  <c r="J95" i="4"/>
  <c r="K94" i="4"/>
  <c r="J94" i="4"/>
  <c r="K93" i="4"/>
  <c r="J93" i="4"/>
  <c r="K92" i="4"/>
  <c r="J92" i="4"/>
  <c r="K91" i="4"/>
  <c r="J91" i="4"/>
  <c r="K90" i="4"/>
  <c r="J90" i="4"/>
  <c r="K89" i="4"/>
  <c r="J89" i="4"/>
  <c r="K88" i="4"/>
  <c r="J88" i="4"/>
  <c r="K87" i="4"/>
  <c r="J87" i="4"/>
  <c r="K86" i="4"/>
  <c r="J86" i="4"/>
  <c r="K85" i="4"/>
  <c r="J85" i="4"/>
  <c r="K84" i="4"/>
  <c r="J84" i="4"/>
  <c r="K83" i="4"/>
  <c r="J83" i="4"/>
  <c r="K82" i="4"/>
  <c r="J82" i="4"/>
  <c r="K81" i="4"/>
  <c r="J81" i="4"/>
  <c r="K80" i="4"/>
  <c r="J80" i="4"/>
  <c r="K79" i="4"/>
  <c r="J79" i="4"/>
  <c r="K78" i="4"/>
  <c r="J78" i="4"/>
  <c r="K77" i="4"/>
  <c r="J77" i="4"/>
  <c r="K76" i="4"/>
  <c r="J76" i="4"/>
  <c r="K75" i="4"/>
  <c r="J75" i="4"/>
  <c r="K74" i="4"/>
  <c r="J74" i="4"/>
  <c r="K73" i="4"/>
  <c r="J73" i="4"/>
  <c r="K72" i="4"/>
  <c r="J72" i="4"/>
  <c r="K71" i="4"/>
  <c r="J71" i="4"/>
  <c r="K70" i="4"/>
  <c r="J70" i="4"/>
  <c r="K69" i="4"/>
  <c r="J69" i="4"/>
  <c r="K68" i="4"/>
  <c r="J68" i="4"/>
  <c r="K67" i="4"/>
  <c r="J67" i="4"/>
  <c r="K66" i="4"/>
  <c r="J66" i="4"/>
  <c r="K65" i="4"/>
  <c r="J65" i="4"/>
  <c r="K64" i="4"/>
  <c r="J64" i="4"/>
  <c r="K63" i="4"/>
  <c r="J63" i="4"/>
  <c r="K62" i="4"/>
  <c r="J62" i="4"/>
  <c r="K61" i="4"/>
  <c r="J61" i="4"/>
  <c r="K60" i="4"/>
  <c r="J60" i="4"/>
  <c r="K59" i="4"/>
  <c r="J59" i="4"/>
  <c r="K58" i="4"/>
  <c r="J58" i="4"/>
  <c r="K57" i="4"/>
  <c r="J57" i="4"/>
  <c r="K56" i="4"/>
  <c r="J56" i="4"/>
  <c r="K55" i="4"/>
  <c r="J55" i="4"/>
  <c r="K54" i="4"/>
  <c r="J54" i="4"/>
  <c r="K53" i="4"/>
  <c r="J53" i="4"/>
  <c r="K52" i="4"/>
  <c r="J52" i="4"/>
  <c r="K51" i="4"/>
  <c r="J51" i="4"/>
  <c r="K50" i="4"/>
  <c r="J50" i="4"/>
  <c r="K49" i="4"/>
  <c r="J49" i="4"/>
  <c r="K48" i="4"/>
  <c r="J48" i="4"/>
  <c r="K47" i="4"/>
  <c r="J47" i="4"/>
  <c r="K46" i="4"/>
  <c r="J46" i="4"/>
  <c r="K45" i="4"/>
  <c r="J45" i="4"/>
  <c r="K44" i="4"/>
  <c r="J44" i="4"/>
  <c r="K43" i="4"/>
  <c r="J43" i="4"/>
  <c r="K42" i="4"/>
  <c r="J42" i="4"/>
  <c r="K41" i="4"/>
  <c r="J41" i="4"/>
  <c r="K40" i="4"/>
  <c r="J40" i="4"/>
  <c r="K39" i="4"/>
  <c r="J39" i="4"/>
  <c r="K38" i="4"/>
  <c r="J38" i="4"/>
  <c r="K37" i="4"/>
  <c r="J37" i="4"/>
  <c r="K36" i="4"/>
  <c r="J36" i="4"/>
  <c r="K35" i="4"/>
  <c r="J35" i="4"/>
  <c r="K34" i="4"/>
  <c r="J34" i="4"/>
  <c r="K33" i="4"/>
  <c r="J33" i="4"/>
  <c r="K32" i="4"/>
  <c r="J32" i="4"/>
  <c r="K31" i="4"/>
  <c r="J31" i="4"/>
  <c r="K30" i="4"/>
  <c r="J30" i="4"/>
  <c r="K29" i="4"/>
  <c r="J29" i="4"/>
  <c r="K28" i="4"/>
  <c r="J28" i="4"/>
  <c r="K27" i="4"/>
  <c r="J27" i="4"/>
  <c r="K26" i="4"/>
  <c r="J26" i="4"/>
  <c r="K25" i="4"/>
  <c r="J25" i="4"/>
  <c r="K24" i="4"/>
  <c r="J24" i="4"/>
  <c r="K23" i="4"/>
  <c r="J23" i="4"/>
  <c r="K22" i="4"/>
  <c r="J22" i="4"/>
  <c r="K21" i="4"/>
  <c r="J21" i="4"/>
  <c r="K20" i="4"/>
  <c r="J20" i="4"/>
  <c r="K19" i="4"/>
  <c r="J19" i="4"/>
  <c r="K18" i="4"/>
  <c r="J18" i="4"/>
  <c r="K17" i="4"/>
  <c r="J17" i="4"/>
  <c r="K16" i="4"/>
  <c r="J16" i="4"/>
  <c r="K15" i="4"/>
  <c r="J15" i="4"/>
  <c r="K14" i="4"/>
  <c r="J14" i="4"/>
  <c r="K13" i="4"/>
  <c r="J13" i="4"/>
  <c r="K12" i="4"/>
  <c r="J12" i="4"/>
  <c r="K11" i="4"/>
  <c r="J11" i="4"/>
  <c r="J5" i="4"/>
  <c r="F5" i="4"/>
  <c r="C5" i="4"/>
  <c r="A5" i="4"/>
  <c r="K210" i="3"/>
  <c r="J210" i="3"/>
  <c r="K209" i="3"/>
  <c r="J209" i="3"/>
  <c r="K208" i="3"/>
  <c r="J208" i="3"/>
  <c r="K207" i="3"/>
  <c r="J207" i="3"/>
  <c r="K206" i="3"/>
  <c r="J206" i="3"/>
  <c r="K205" i="3"/>
  <c r="J205" i="3"/>
  <c r="K204" i="3"/>
  <c r="J204" i="3"/>
  <c r="K203" i="3"/>
  <c r="J203" i="3"/>
  <c r="K202" i="3"/>
  <c r="J202" i="3"/>
  <c r="K201" i="3"/>
  <c r="J201" i="3"/>
  <c r="K200" i="3"/>
  <c r="J200" i="3"/>
  <c r="K199" i="3"/>
  <c r="J199" i="3"/>
  <c r="K198" i="3"/>
  <c r="J198" i="3"/>
  <c r="K197" i="3"/>
  <c r="J197" i="3"/>
  <c r="K196" i="3"/>
  <c r="J196" i="3"/>
  <c r="K195" i="3"/>
  <c r="J195" i="3"/>
  <c r="K194" i="3"/>
  <c r="J194" i="3"/>
  <c r="K193" i="3"/>
  <c r="J193" i="3"/>
  <c r="K192" i="3"/>
  <c r="J192" i="3"/>
  <c r="K191" i="3"/>
  <c r="J191" i="3"/>
  <c r="K190" i="3"/>
  <c r="J190" i="3"/>
  <c r="K189" i="3"/>
  <c r="J189" i="3"/>
  <c r="K188" i="3"/>
  <c r="J188" i="3"/>
  <c r="K187" i="3"/>
  <c r="J187" i="3"/>
  <c r="K186" i="3"/>
  <c r="J186" i="3"/>
  <c r="K185" i="3"/>
  <c r="J185" i="3"/>
  <c r="K184" i="3"/>
  <c r="J184" i="3"/>
  <c r="K183" i="3"/>
  <c r="J183" i="3"/>
  <c r="K182" i="3"/>
  <c r="J182" i="3"/>
  <c r="K181" i="3"/>
  <c r="J181" i="3"/>
  <c r="K180" i="3"/>
  <c r="J180" i="3"/>
  <c r="K179" i="3"/>
  <c r="J179" i="3"/>
  <c r="K178" i="3"/>
  <c r="J178" i="3"/>
  <c r="K177" i="3"/>
  <c r="J177" i="3"/>
  <c r="K176" i="3"/>
  <c r="J176" i="3"/>
  <c r="K175" i="3"/>
  <c r="J175" i="3"/>
  <c r="K174" i="3"/>
  <c r="J174" i="3"/>
  <c r="K173" i="3"/>
  <c r="J173" i="3"/>
  <c r="K172" i="3"/>
  <c r="J172" i="3"/>
  <c r="K171" i="3"/>
  <c r="J171" i="3"/>
  <c r="K170" i="3"/>
  <c r="J170" i="3"/>
  <c r="K169" i="3"/>
  <c r="J169" i="3"/>
  <c r="K168" i="3"/>
  <c r="J168" i="3"/>
  <c r="K167" i="3"/>
  <c r="J167" i="3"/>
  <c r="K166" i="3"/>
  <c r="J166" i="3"/>
  <c r="K165" i="3"/>
  <c r="J165" i="3"/>
  <c r="K164" i="3"/>
  <c r="J164" i="3"/>
  <c r="K163" i="3"/>
  <c r="J163" i="3"/>
  <c r="K162" i="3"/>
  <c r="J162" i="3"/>
  <c r="K161" i="3"/>
  <c r="J161" i="3"/>
  <c r="K160" i="3"/>
  <c r="J160" i="3"/>
  <c r="K159" i="3"/>
  <c r="J159" i="3"/>
  <c r="K158" i="3"/>
  <c r="J158" i="3"/>
  <c r="K157" i="3"/>
  <c r="J157" i="3"/>
  <c r="K156" i="3"/>
  <c r="J156" i="3"/>
  <c r="K155" i="3"/>
  <c r="J155" i="3"/>
  <c r="K154" i="3"/>
  <c r="J154" i="3"/>
  <c r="K153" i="3"/>
  <c r="J153" i="3"/>
  <c r="K152" i="3"/>
  <c r="J152" i="3"/>
  <c r="K151" i="3"/>
  <c r="J151" i="3"/>
  <c r="K150" i="3"/>
  <c r="J150" i="3"/>
  <c r="K149" i="3"/>
  <c r="J149" i="3"/>
  <c r="K148" i="3"/>
  <c r="J148" i="3"/>
  <c r="K147" i="3"/>
  <c r="J147" i="3"/>
  <c r="K146" i="3"/>
  <c r="J146" i="3"/>
  <c r="K145" i="3"/>
  <c r="J145" i="3"/>
  <c r="K144" i="3"/>
  <c r="J144" i="3"/>
  <c r="K143" i="3"/>
  <c r="J143" i="3"/>
  <c r="K142" i="3"/>
  <c r="J142" i="3"/>
  <c r="K141" i="3"/>
  <c r="J141" i="3"/>
  <c r="K140" i="3"/>
  <c r="J140" i="3"/>
  <c r="K139" i="3"/>
  <c r="J139" i="3"/>
  <c r="K138" i="3"/>
  <c r="J138" i="3"/>
  <c r="K137" i="3"/>
  <c r="J137" i="3"/>
  <c r="K136" i="3"/>
  <c r="J136" i="3"/>
  <c r="K135" i="3"/>
  <c r="J135" i="3"/>
  <c r="K134" i="3"/>
  <c r="J134" i="3"/>
  <c r="K133" i="3"/>
  <c r="J133" i="3"/>
  <c r="K132" i="3"/>
  <c r="J132" i="3"/>
  <c r="K131" i="3"/>
  <c r="J131" i="3"/>
  <c r="K130" i="3"/>
  <c r="J130" i="3"/>
  <c r="K129" i="3"/>
  <c r="J129" i="3"/>
  <c r="K128" i="3"/>
  <c r="J128" i="3"/>
  <c r="K127" i="3"/>
  <c r="J127" i="3"/>
  <c r="K126" i="3"/>
  <c r="J126" i="3"/>
  <c r="K125" i="3"/>
  <c r="J125" i="3"/>
  <c r="K124" i="3"/>
  <c r="J124" i="3"/>
  <c r="K123" i="3"/>
  <c r="J123" i="3"/>
  <c r="K122" i="3"/>
  <c r="J122" i="3"/>
  <c r="K121" i="3"/>
  <c r="J121" i="3"/>
  <c r="K120" i="3"/>
  <c r="J120" i="3"/>
  <c r="K119" i="3"/>
  <c r="J119" i="3"/>
  <c r="K118" i="3"/>
  <c r="J118" i="3"/>
  <c r="K117" i="3"/>
  <c r="J117" i="3"/>
  <c r="K116" i="3"/>
  <c r="J116" i="3"/>
  <c r="K115" i="3"/>
  <c r="J115" i="3"/>
  <c r="K114" i="3"/>
  <c r="J114" i="3"/>
  <c r="K113" i="3"/>
  <c r="J113" i="3"/>
  <c r="K112" i="3"/>
  <c r="J112" i="3"/>
  <c r="K111" i="3"/>
  <c r="J111" i="3"/>
  <c r="K110" i="3"/>
  <c r="J110" i="3"/>
  <c r="K109" i="3"/>
  <c r="J109" i="3"/>
  <c r="K108" i="3"/>
  <c r="J108" i="3"/>
  <c r="K107" i="3"/>
  <c r="J107" i="3"/>
  <c r="K106" i="3"/>
  <c r="J106" i="3"/>
  <c r="K105" i="3"/>
  <c r="J105" i="3"/>
  <c r="K104" i="3"/>
  <c r="J104" i="3"/>
  <c r="K103" i="3"/>
  <c r="J103" i="3"/>
  <c r="K102" i="3"/>
  <c r="J102" i="3"/>
  <c r="K101" i="3"/>
  <c r="J101" i="3"/>
  <c r="K100" i="3"/>
  <c r="J100" i="3"/>
  <c r="K99" i="3"/>
  <c r="J99" i="3"/>
  <c r="K98" i="3"/>
  <c r="J98" i="3"/>
  <c r="K97" i="3"/>
  <c r="J97" i="3"/>
  <c r="K96" i="3"/>
  <c r="J96" i="3"/>
  <c r="K95" i="3"/>
  <c r="J95" i="3"/>
  <c r="K94" i="3"/>
  <c r="J94" i="3"/>
  <c r="K93" i="3"/>
  <c r="J93" i="3"/>
  <c r="K92" i="3"/>
  <c r="J92" i="3"/>
  <c r="K91" i="3"/>
  <c r="J91" i="3"/>
  <c r="K90" i="3"/>
  <c r="J90" i="3"/>
  <c r="K89" i="3"/>
  <c r="J89" i="3"/>
  <c r="K88" i="3"/>
  <c r="J88" i="3"/>
  <c r="K87" i="3"/>
  <c r="J87" i="3"/>
  <c r="K86" i="3"/>
  <c r="J86" i="3"/>
  <c r="K85" i="3"/>
  <c r="J85" i="3"/>
  <c r="K84" i="3"/>
  <c r="J84" i="3"/>
  <c r="K83" i="3"/>
  <c r="J83" i="3"/>
  <c r="K82" i="3"/>
  <c r="J82" i="3"/>
  <c r="K81" i="3"/>
  <c r="J81" i="3"/>
  <c r="K80" i="3"/>
  <c r="J80" i="3"/>
  <c r="K79" i="3"/>
  <c r="J79" i="3"/>
  <c r="K78" i="3"/>
  <c r="J78" i="3"/>
  <c r="K77" i="3"/>
  <c r="J77" i="3"/>
  <c r="K76" i="3"/>
  <c r="J76" i="3"/>
  <c r="K75" i="3"/>
  <c r="J75" i="3"/>
  <c r="K74" i="3"/>
  <c r="J74" i="3"/>
  <c r="K73" i="3"/>
  <c r="J73" i="3"/>
  <c r="K72" i="3"/>
  <c r="J72" i="3"/>
  <c r="K71" i="3"/>
  <c r="J71" i="3"/>
  <c r="K70" i="3"/>
  <c r="J70" i="3"/>
  <c r="K69" i="3"/>
  <c r="J69" i="3"/>
  <c r="K68" i="3"/>
  <c r="J68" i="3"/>
  <c r="K67" i="3"/>
  <c r="J67" i="3"/>
  <c r="K66" i="3"/>
  <c r="J66" i="3"/>
  <c r="K65" i="3"/>
  <c r="J65" i="3"/>
  <c r="K64" i="3"/>
  <c r="J64" i="3"/>
  <c r="K63" i="3"/>
  <c r="J63" i="3"/>
  <c r="K62" i="3"/>
  <c r="J62" i="3"/>
  <c r="K61" i="3"/>
  <c r="J61" i="3"/>
  <c r="K60" i="3"/>
  <c r="J60" i="3"/>
  <c r="K59" i="3"/>
  <c r="J59" i="3"/>
  <c r="K58" i="3"/>
  <c r="J58" i="3"/>
  <c r="K57" i="3"/>
  <c r="J57" i="3"/>
  <c r="K56" i="3"/>
  <c r="J56" i="3"/>
  <c r="K55" i="3"/>
  <c r="J55" i="3"/>
  <c r="K54" i="3"/>
  <c r="J54" i="3"/>
  <c r="K53" i="3"/>
  <c r="J53" i="3"/>
  <c r="K52" i="3"/>
  <c r="J52" i="3"/>
  <c r="K51" i="3"/>
  <c r="J51" i="3"/>
  <c r="K50" i="3"/>
  <c r="J50" i="3"/>
  <c r="K49" i="3"/>
  <c r="J49" i="3"/>
  <c r="K48" i="3"/>
  <c r="J48" i="3"/>
  <c r="K47" i="3"/>
  <c r="J47" i="3"/>
  <c r="K46" i="3"/>
  <c r="J46" i="3"/>
  <c r="K45" i="3"/>
  <c r="J45" i="3"/>
  <c r="K44" i="3"/>
  <c r="J44" i="3"/>
  <c r="K43" i="3"/>
  <c r="J43" i="3"/>
  <c r="K42" i="3"/>
  <c r="J42" i="3"/>
  <c r="K41" i="3"/>
  <c r="J41" i="3"/>
  <c r="K40" i="3"/>
  <c r="J40" i="3"/>
  <c r="K39" i="3"/>
  <c r="J39" i="3"/>
  <c r="K38" i="3"/>
  <c r="J38" i="3"/>
  <c r="K37" i="3"/>
  <c r="J37" i="3"/>
  <c r="K36" i="3"/>
  <c r="J36" i="3"/>
  <c r="K35" i="3"/>
  <c r="J35" i="3"/>
  <c r="K34" i="3"/>
  <c r="J34" i="3"/>
  <c r="K33" i="3"/>
  <c r="J33" i="3"/>
  <c r="K32" i="3"/>
  <c r="J32" i="3"/>
  <c r="K31" i="3"/>
  <c r="J31" i="3"/>
  <c r="K30" i="3"/>
  <c r="J30" i="3"/>
  <c r="K29" i="3"/>
  <c r="J29" i="3"/>
  <c r="K28" i="3"/>
  <c r="J28" i="3"/>
  <c r="K27" i="3"/>
  <c r="J27" i="3"/>
  <c r="K26" i="3"/>
  <c r="J26" i="3"/>
  <c r="K25" i="3"/>
  <c r="J25" i="3"/>
  <c r="K24" i="3"/>
  <c r="J24" i="3"/>
  <c r="K23" i="3"/>
  <c r="J23" i="3"/>
  <c r="K22" i="3"/>
  <c r="J22" i="3"/>
  <c r="K21" i="3"/>
  <c r="J21" i="3"/>
  <c r="K20" i="3"/>
  <c r="J20" i="3"/>
  <c r="K19" i="3"/>
  <c r="J19" i="3"/>
  <c r="K18" i="3"/>
  <c r="J18" i="3"/>
  <c r="K17" i="3"/>
  <c r="J17" i="3"/>
  <c r="K16" i="3"/>
  <c r="J16" i="3"/>
  <c r="K15" i="3"/>
  <c r="J15" i="3"/>
  <c r="K14" i="3"/>
  <c r="J14" i="3"/>
  <c r="K13" i="3"/>
  <c r="J13" i="3"/>
  <c r="K12" i="3"/>
  <c r="J12" i="3"/>
  <c r="K11" i="3"/>
  <c r="J11" i="3"/>
  <c r="J5" i="3"/>
  <c r="G5" i="3"/>
  <c r="C5" i="3"/>
  <c r="A5" i="3"/>
  <c r="J210" i="2"/>
  <c r="I210" i="2"/>
  <c r="J209" i="2"/>
  <c r="I209" i="2"/>
  <c r="J208" i="2"/>
  <c r="I208" i="2"/>
  <c r="J207" i="2"/>
  <c r="I207" i="2"/>
  <c r="J206" i="2"/>
  <c r="I206" i="2"/>
  <c r="J205" i="2"/>
  <c r="I205" i="2"/>
  <c r="J204" i="2"/>
  <c r="I204" i="2"/>
  <c r="J203" i="2"/>
  <c r="I203" i="2"/>
  <c r="J202" i="2"/>
  <c r="I202" i="2"/>
  <c r="J201" i="2"/>
  <c r="I201" i="2"/>
  <c r="J200" i="2"/>
  <c r="I200" i="2"/>
  <c r="J199" i="2"/>
  <c r="I199" i="2"/>
  <c r="J198" i="2"/>
  <c r="I198" i="2"/>
  <c r="J197" i="2"/>
  <c r="I197" i="2"/>
  <c r="J196" i="2"/>
  <c r="I196" i="2"/>
  <c r="J195" i="2"/>
  <c r="I195" i="2"/>
  <c r="J194" i="2"/>
  <c r="I194" i="2"/>
  <c r="J193" i="2"/>
  <c r="I193" i="2"/>
  <c r="J192" i="2"/>
  <c r="I192" i="2"/>
  <c r="J191" i="2"/>
  <c r="I191" i="2"/>
  <c r="J190" i="2"/>
  <c r="I190" i="2"/>
  <c r="J189" i="2"/>
  <c r="I189" i="2"/>
  <c r="J188" i="2"/>
  <c r="I188" i="2"/>
  <c r="J187" i="2"/>
  <c r="I187" i="2"/>
  <c r="J186" i="2"/>
  <c r="I186" i="2"/>
  <c r="J185" i="2"/>
  <c r="I185" i="2"/>
  <c r="J184" i="2"/>
  <c r="I184" i="2"/>
  <c r="J183" i="2"/>
  <c r="I183" i="2"/>
  <c r="J182" i="2"/>
  <c r="I182" i="2"/>
  <c r="J181" i="2"/>
  <c r="I181" i="2"/>
  <c r="J180" i="2"/>
  <c r="I180" i="2"/>
  <c r="J179" i="2"/>
  <c r="I179" i="2"/>
  <c r="J178" i="2"/>
  <c r="I178" i="2"/>
  <c r="J177" i="2"/>
  <c r="I177" i="2"/>
  <c r="J176" i="2"/>
  <c r="I176" i="2"/>
  <c r="J175" i="2"/>
  <c r="I175" i="2"/>
  <c r="J174" i="2"/>
  <c r="I174" i="2"/>
  <c r="J173" i="2"/>
  <c r="I173" i="2"/>
  <c r="J172" i="2"/>
  <c r="I172" i="2"/>
  <c r="J171" i="2"/>
  <c r="I171" i="2"/>
  <c r="J170" i="2"/>
  <c r="I170" i="2"/>
  <c r="J169" i="2"/>
  <c r="I169" i="2"/>
  <c r="J168" i="2"/>
  <c r="I168" i="2"/>
  <c r="J167" i="2"/>
  <c r="I167" i="2"/>
  <c r="J166" i="2"/>
  <c r="I166" i="2"/>
  <c r="J165" i="2"/>
  <c r="I165" i="2"/>
  <c r="J164" i="2"/>
  <c r="I164" i="2"/>
  <c r="J163" i="2"/>
  <c r="I163" i="2"/>
  <c r="J162" i="2"/>
  <c r="I162" i="2"/>
  <c r="J161" i="2"/>
  <c r="I161" i="2"/>
  <c r="J160" i="2"/>
  <c r="I160" i="2"/>
  <c r="J159" i="2"/>
  <c r="I159" i="2"/>
  <c r="J158" i="2"/>
  <c r="I158" i="2"/>
  <c r="J157" i="2"/>
  <c r="I157" i="2"/>
  <c r="J156" i="2"/>
  <c r="I156" i="2"/>
  <c r="J155" i="2"/>
  <c r="I155" i="2"/>
  <c r="J154" i="2"/>
  <c r="I154" i="2"/>
  <c r="J153" i="2"/>
  <c r="I153" i="2"/>
  <c r="J152" i="2"/>
  <c r="I152" i="2"/>
  <c r="J151" i="2"/>
  <c r="I151" i="2"/>
  <c r="J150" i="2"/>
  <c r="I150" i="2"/>
  <c r="J149" i="2"/>
  <c r="I149" i="2"/>
  <c r="J148" i="2"/>
  <c r="I148" i="2"/>
  <c r="J147" i="2"/>
  <c r="I147" i="2"/>
  <c r="J146" i="2"/>
  <c r="I146" i="2"/>
  <c r="J145" i="2"/>
  <c r="I145" i="2"/>
  <c r="J144" i="2"/>
  <c r="I144" i="2"/>
  <c r="J143" i="2"/>
  <c r="I143" i="2"/>
  <c r="J142" i="2"/>
  <c r="I142" i="2"/>
  <c r="J141" i="2"/>
  <c r="I141" i="2"/>
  <c r="J140" i="2"/>
  <c r="I140" i="2"/>
  <c r="J139" i="2"/>
  <c r="I139" i="2"/>
  <c r="J138" i="2"/>
  <c r="I138" i="2"/>
  <c r="J137" i="2"/>
  <c r="I137" i="2"/>
  <c r="J136" i="2"/>
  <c r="I136" i="2"/>
  <c r="J135" i="2"/>
  <c r="I135" i="2"/>
  <c r="J134" i="2"/>
  <c r="I134" i="2"/>
  <c r="J133" i="2"/>
  <c r="I133" i="2"/>
  <c r="J132" i="2"/>
  <c r="I132" i="2"/>
  <c r="J131" i="2"/>
  <c r="I131" i="2"/>
  <c r="J130" i="2"/>
  <c r="I130" i="2"/>
  <c r="J129" i="2"/>
  <c r="I129" i="2"/>
  <c r="J128" i="2"/>
  <c r="I128" i="2"/>
  <c r="J127" i="2"/>
  <c r="I127" i="2"/>
  <c r="J126" i="2"/>
  <c r="I126" i="2"/>
  <c r="J125" i="2"/>
  <c r="I125" i="2"/>
  <c r="J124" i="2"/>
  <c r="I124" i="2"/>
  <c r="J123" i="2"/>
  <c r="I123" i="2"/>
  <c r="J122" i="2"/>
  <c r="I122" i="2"/>
  <c r="J121" i="2"/>
  <c r="I121" i="2"/>
  <c r="J120" i="2"/>
  <c r="I120" i="2"/>
  <c r="J119" i="2"/>
  <c r="I119" i="2"/>
  <c r="J118" i="2"/>
  <c r="I118" i="2"/>
  <c r="J117" i="2"/>
  <c r="I117" i="2"/>
  <c r="J116" i="2"/>
  <c r="I116" i="2"/>
  <c r="J115" i="2"/>
  <c r="I115" i="2"/>
  <c r="J114" i="2"/>
  <c r="I114" i="2"/>
  <c r="J113" i="2"/>
  <c r="I113" i="2"/>
  <c r="J112" i="2"/>
  <c r="I112" i="2"/>
  <c r="J111" i="2"/>
  <c r="I111" i="2"/>
  <c r="J110" i="2"/>
  <c r="I110" i="2"/>
  <c r="J109" i="2"/>
  <c r="I109" i="2"/>
  <c r="J108" i="2"/>
  <c r="I108" i="2"/>
  <c r="J107" i="2"/>
  <c r="I107" i="2"/>
  <c r="J106" i="2"/>
  <c r="I106" i="2"/>
  <c r="J105" i="2"/>
  <c r="I105" i="2"/>
  <c r="J104" i="2"/>
  <c r="I104" i="2"/>
  <c r="J103" i="2"/>
  <c r="I103" i="2"/>
  <c r="J102" i="2"/>
  <c r="I102" i="2"/>
  <c r="J101" i="2"/>
  <c r="I101" i="2"/>
  <c r="J100" i="2"/>
  <c r="I100" i="2"/>
  <c r="J99" i="2"/>
  <c r="I99" i="2"/>
  <c r="J98" i="2"/>
  <c r="I98" i="2"/>
  <c r="J97" i="2"/>
  <c r="I97" i="2"/>
  <c r="J96" i="2"/>
  <c r="I96" i="2"/>
  <c r="J95" i="2"/>
  <c r="I95" i="2"/>
  <c r="J94" i="2"/>
  <c r="I94" i="2"/>
  <c r="J93" i="2"/>
  <c r="I93" i="2"/>
  <c r="J92" i="2"/>
  <c r="I92" i="2"/>
  <c r="J91" i="2"/>
  <c r="I91" i="2"/>
  <c r="J90" i="2"/>
  <c r="I90" i="2"/>
  <c r="J89" i="2"/>
  <c r="I89" i="2"/>
  <c r="J88" i="2"/>
  <c r="I88" i="2"/>
  <c r="J87" i="2"/>
  <c r="I87" i="2"/>
  <c r="J86" i="2"/>
  <c r="I86" i="2"/>
  <c r="J85" i="2"/>
  <c r="I85" i="2"/>
  <c r="J84" i="2"/>
  <c r="I84" i="2"/>
  <c r="J83" i="2"/>
  <c r="I83" i="2"/>
  <c r="J82" i="2"/>
  <c r="I82" i="2"/>
  <c r="J81" i="2"/>
  <c r="I81" i="2"/>
  <c r="J80" i="2"/>
  <c r="I80" i="2"/>
  <c r="J79" i="2"/>
  <c r="I79" i="2"/>
  <c r="J78" i="2"/>
  <c r="I78" i="2"/>
  <c r="J77" i="2"/>
  <c r="I77" i="2"/>
  <c r="J76" i="2"/>
  <c r="I76" i="2"/>
  <c r="J75" i="2"/>
  <c r="I75" i="2"/>
  <c r="J74" i="2"/>
  <c r="I74" i="2"/>
  <c r="J73" i="2"/>
  <c r="I73" i="2"/>
  <c r="J72" i="2"/>
  <c r="I72" i="2"/>
  <c r="J71" i="2"/>
  <c r="I71" i="2"/>
  <c r="J70" i="2"/>
  <c r="I70" i="2"/>
  <c r="J69" i="2"/>
  <c r="I69" i="2"/>
  <c r="J68" i="2"/>
  <c r="I68" i="2"/>
  <c r="J67" i="2"/>
  <c r="I67" i="2"/>
  <c r="J66" i="2"/>
  <c r="I66" i="2"/>
  <c r="J65" i="2"/>
  <c r="I65" i="2"/>
  <c r="J64" i="2"/>
  <c r="I64" i="2"/>
  <c r="J63" i="2"/>
  <c r="I63" i="2"/>
  <c r="J62" i="2"/>
  <c r="I62"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J14" i="2"/>
  <c r="I14" i="2"/>
  <c r="J13" i="2"/>
  <c r="I13" i="2"/>
  <c r="J12" i="2"/>
  <c r="I12" i="2"/>
  <c r="J11" i="2"/>
  <c r="I11" i="2"/>
  <c r="J5" i="2"/>
  <c r="F5" i="2"/>
  <c r="C5" i="2"/>
  <c r="A5" i="2"/>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H5" i="1"/>
  <c r="E5" i="1"/>
  <c r="C5" i="1"/>
  <c r="A5" i="1"/>
</calcChain>
</file>

<file path=xl/sharedStrings.xml><?xml version="1.0" encoding="utf-8"?>
<sst xmlns="http://schemas.openxmlformats.org/spreadsheetml/2006/main" count="971" uniqueCount="393">
  <si>
    <t>Client master tracker</t>
  </si>
  <si>
    <t>Track active clients, status, owner, next action, renewal date and risk level.</t>
  </si>
  <si>
    <t>Active clients</t>
  </si>
  <si>
    <t>In onboarding</t>
  </si>
  <si>
    <t>High risk</t>
  </si>
  <si>
    <t>Renewals in 30 days</t>
  </si>
  <si>
    <t>How to use</t>
  </si>
  <si>
    <t>1. Add one row per client. Replace the sample rows.
2. Update the status, next action and risk level at least once a week.
3. Days to renewal is calculated. Do not type over it.
4. Review all rows marked high risk in your weekly delivery meeting.</t>
  </si>
  <si>
    <t>Client name</t>
  </si>
  <si>
    <t>Status</t>
  </si>
  <si>
    <t>Owner</t>
  </si>
  <si>
    <t>Next action</t>
  </si>
  <si>
    <t>Next action date</t>
  </si>
  <si>
    <t>Renewal date</t>
  </si>
  <si>
    <t>Days to renewal</t>
  </si>
  <si>
    <t>Risk level</t>
  </si>
  <si>
    <t>Notes</t>
  </si>
  <si>
    <t>Northwind Coffee Co.</t>
  </si>
  <si>
    <t>Active</t>
  </si>
  <si>
    <t>Sarah Chen</t>
  </si>
  <si>
    <t>Present product page templates</t>
  </si>
  <si>
    <t>Low</t>
  </si>
  <si>
    <t>Retainer client since 2024. Website redesign and holiday campaign running.</t>
  </si>
  <si>
    <t>Brightline Dental</t>
  </si>
  <si>
    <t>Marcus Webb</t>
  </si>
  <si>
    <t>Chase landing page sign-off and booking API access</t>
  </si>
  <si>
    <t>Medium</t>
  </si>
  <si>
    <t>Renewal due soon. Landing page is past deadline while we wait on API access.</t>
  </si>
  <si>
    <t>Halcyon Fitness</t>
  </si>
  <si>
    <t>Priya Nair</t>
  </si>
  <si>
    <t>Escalation call on scope and round limits</t>
  </si>
  <si>
    <t>High</t>
  </si>
  <si>
    <t>Onboarding UI is overdue and revisions are over the agreed limit. Renewal at risk.</t>
  </si>
  <si>
    <t>Verdant Home Goods</t>
  </si>
  <si>
    <t>Onboarding</t>
  </si>
  <si>
    <t>Tom Alvarez</t>
  </si>
  <si>
    <t>Collect product list and SKUs</t>
  </si>
  <si>
    <t>New client, signed September 2026. Shopify store build started.</t>
  </si>
  <si>
    <t>Kestrel Legal LLP</t>
  </si>
  <si>
    <t>Get whitepaper sign-off</t>
  </si>
  <si>
    <t>Content retainer. Approvals can be slow because of partner review.</t>
  </si>
  <si>
    <t>Oakridge Veterinary</t>
  </si>
  <si>
    <t>Paused</t>
  </si>
  <si>
    <t>Check-in call to confirm restart date</t>
  </si>
  <si>
    <t>Website project paused by the client in September. Still waiting on the services list.</t>
  </si>
  <si>
    <t>Lumen Solar</t>
  </si>
  <si>
    <t>Review brand questionnaire answers</t>
  </si>
  <si>
    <t>New client. Brand identity kickoff held 5 October.</t>
  </si>
  <si>
    <t>Pinecrest Bakery</t>
  </si>
  <si>
    <t>Offboarding</t>
  </si>
  <si>
    <t>Deliver asset handover pack</t>
  </si>
  <si>
    <t>Not renewing (moving in-house). Ending on good terms.</t>
  </si>
  <si>
    <t>Bluefin Seafood Market</t>
  </si>
  <si>
    <t>Chase payment gateway access</t>
  </si>
  <si>
    <t>Ordering site on track. Client replies quickly.</t>
  </si>
  <si>
    <t>Summit Ridge Outfitters</t>
  </si>
  <si>
    <t>Send round 2 catalogue edits</t>
  </si>
  <si>
    <t>Catalogue is past deadline because product photos came in late. Renewal due soon.</t>
  </si>
  <si>
    <t>Copperleaf Accounting</t>
  </si>
  <si>
    <t>Review email nurture drafts</t>
  </si>
  <si>
    <t>Happy client. Tax season campaign under way.</t>
  </si>
  <si>
    <t>Meridian Physio</t>
  </si>
  <si>
    <t>Run website discovery workshop</t>
  </si>
  <si>
    <t>New client, signed October 2026.</t>
  </si>
  <si>
    <t>Atlas Logistics</t>
  </si>
  <si>
    <t>Agree change request for extra deck work</t>
  </si>
  <si>
    <t>Sales deck is overdue and the scope keeps growing. Slow to send data.</t>
  </si>
  <si>
    <t>Willow &amp; Thread Boutique</t>
  </si>
  <si>
    <t>Share first lookbook spreads</t>
  </si>
  <si>
    <t>Long-standing client. Spring lookbook in production.</t>
  </si>
  <si>
    <t>Greenleaf Architects</t>
  </si>
  <si>
    <t>Follow up on photography rights</t>
  </si>
  <si>
    <t>Portfolio site paused until photo rights are cleared.</t>
  </si>
  <si>
    <t>Riverstone Brewing</t>
  </si>
  <si>
    <t>Get final sign-off on label print files</t>
  </si>
  <si>
    <t>Renewal due soon. Label designs approved. Print files in review.</t>
  </si>
  <si>
    <t>Nova Pet Supplies</t>
  </si>
  <si>
    <t>Brand launch kickoff</t>
  </si>
  <si>
    <t>New client. Brand launch kit planned for December.</t>
  </si>
  <si>
    <t>Cedar Grove Hotel</t>
  </si>
  <si>
    <t>Closed</t>
  </si>
  <si>
    <t>Send end-of-contract survey</t>
  </si>
  <si>
    <t>Contract ended 30 Sep 2026. Booking flow refresh delivered.</t>
  </si>
  <si>
    <t>Project tracker</t>
  </si>
  <si>
    <t>Track projects, deliverables, deadlines, owners and completion status.</t>
  </si>
  <si>
    <t>In progress</t>
  </si>
  <si>
    <t>Overdue</t>
  </si>
  <si>
    <t>Due in 7 days</t>
  </si>
  <si>
    <t>Complete</t>
  </si>
  <si>
    <t>1. Add one row per project. Replace the sample rows.
2. Set the status, percent complete and next step at least once a week.
3. Days overdue and the deadline flag are calculated. Do not type over them.
4. Review every project flagged Overdue in your weekly delivery meeting.</t>
  </si>
  <si>
    <t>Project name</t>
  </si>
  <si>
    <t>Deliverables</t>
  </si>
  <si>
    <t>Start date</t>
  </si>
  <si>
    <t>Deadline</t>
  </si>
  <si>
    <t>Percent complete</t>
  </si>
  <si>
    <t>Days overdue</t>
  </si>
  <si>
    <t>Deadline flag</t>
  </si>
  <si>
    <t>Next step</t>
  </si>
  <si>
    <t>Northwind website redesign</t>
  </si>
  <si>
    <t>Homepage, product page templates, CMS build</t>
  </si>
  <si>
    <t>Present product page templates on 20 Oct</t>
  </si>
  <si>
    <t>Northwind holiday campaign</t>
  </si>
  <si>
    <t>Holiday social ad set, holiday email series</t>
  </si>
  <si>
    <t>Finish round 2 ad edits and quote TikTok sizes</t>
  </si>
  <si>
    <t>Brightline brand refresh</t>
  </si>
  <si>
    <t>Logo suite, brand guidelines</t>
  </si>
  <si>
    <t>Brightline booking landing page</t>
  </si>
  <si>
    <t>Booking landing page</t>
  </si>
  <si>
    <t>In review</t>
  </si>
  <si>
    <t>Chase sign-off and booking API credentials</t>
  </si>
  <si>
    <t>Halcyon app onboarding flow</t>
  </si>
  <si>
    <t>Onboarding UX wireframes, onboarding UI designs</t>
  </si>
  <si>
    <t>Agree change request for extra screens</t>
  </si>
  <si>
    <t>Halcyon January membership campaign</t>
  </si>
  <si>
    <t>Campaign concept</t>
  </si>
  <si>
    <t>Not started</t>
  </si>
  <si>
    <t>Confirm January pricing before kickoff</t>
  </si>
  <si>
    <t>Verdant Shopify store launch</t>
  </si>
  <si>
    <t>Store theme design, product photography</t>
  </si>
  <si>
    <t>Start theme design once SKUs arrive</t>
  </si>
  <si>
    <t>Kestrel thought leadership content</t>
  </si>
  <si>
    <t>Whitepaper, blog articles (x4)</t>
  </si>
  <si>
    <t>Apply section 3 edits and get partner sign-off</t>
  </si>
  <si>
    <t>Oakridge website refresh</t>
  </si>
  <si>
    <t>Website page designs</t>
  </si>
  <si>
    <t>On hold</t>
  </si>
  <si>
    <t>Paused by client. Confirm restart date</t>
  </si>
  <si>
    <t>Lumen Solar brand identity</t>
  </si>
  <si>
    <t>Logo concepts</t>
  </si>
  <si>
    <t>Finish logo concepts for 6 Nov</t>
  </si>
  <si>
    <t>Pinecrest menu and signage</t>
  </si>
  <si>
    <t>Menu design, store signage</t>
  </si>
  <si>
    <t>Pinecrest handover pack</t>
  </si>
  <si>
    <t>Asset handover pack</t>
  </si>
  <si>
    <t>Package final files and brand assets</t>
  </si>
  <si>
    <t>Bluefin online ordering site</t>
  </si>
  <si>
    <t>Ordering site design, menu photography</t>
  </si>
  <si>
    <t>Get payment gateway access</t>
  </si>
  <si>
    <t>Summit Ridge winter catalogue</t>
  </si>
  <si>
    <t>Winter catalogue</t>
  </si>
  <si>
    <t>Finish round 2 edits and get catalogue sign-off</t>
  </si>
  <si>
    <t>Copperleaf tax season campaign</t>
  </si>
  <si>
    <t>Email nurture series, LinkedIn ads</t>
  </si>
  <si>
    <t>Draft nurture emails 1 to 3</t>
  </si>
  <si>
    <t>Meridian Physio website build</t>
  </si>
  <si>
    <t>Sitemap and wireframes, website design</t>
  </si>
  <si>
    <t>Discovery workshop on 19 Oct</t>
  </si>
  <si>
    <t>Atlas Logistics sales deck</t>
  </si>
  <si>
    <t>Sales deck, case study one-pagers</t>
  </si>
  <si>
    <t>Send change request for French version</t>
  </si>
  <si>
    <t>Willow &amp; Thread spring lookbook</t>
  </si>
  <si>
    <t>Lookbook design, social teasers</t>
  </si>
  <si>
    <t>Lay out first 12 spreads</t>
  </si>
  <si>
    <t>Greenleaf portfolio site</t>
  </si>
  <si>
    <t>Portfolio site design</t>
  </si>
  <si>
    <t>Waiting on photography rights</t>
  </si>
  <si>
    <t>Riverstone label redesign</t>
  </si>
  <si>
    <t>Can label designs, label print files</t>
  </si>
  <si>
    <t>Final print file check with printer</t>
  </si>
  <si>
    <t>Nova Pet brand launch kit</t>
  </si>
  <si>
    <t>Brand launch kit</t>
  </si>
  <si>
    <t>Kickoff and mood boards</t>
  </si>
  <si>
    <t>Cedar Grove booking flow refresh</t>
  </si>
  <si>
    <t>Booking flow redesign</t>
  </si>
  <si>
    <t>Deliverable tracker</t>
  </si>
  <si>
    <t>Track each deliverable from brief to approval.</t>
  </si>
  <si>
    <t>Open deliverables</t>
  </si>
  <si>
    <t>Waiting on client</t>
  </si>
  <si>
    <t>Approved</t>
  </si>
  <si>
    <t>1. Add one row per deliverable. Replace the sample rows.
2. Move the stage forward as the work progresses, from Brief to Approved.
3. Enter the due date and the date approved. Days overdue and the stage flag are calculated.
4. Review every row flagged Overdue or Waiting on client in your weekly delivery meeting.</t>
  </si>
  <si>
    <t>Deliverable</t>
  </si>
  <si>
    <t>Stage</t>
  </si>
  <si>
    <t>Due date</t>
  </si>
  <si>
    <t>Date sent to client</t>
  </si>
  <si>
    <t>Date approved</t>
  </si>
  <si>
    <t>Approver</t>
  </si>
  <si>
    <t>Stage flag</t>
  </si>
  <si>
    <t>Homepage design</t>
  </si>
  <si>
    <t>Emma Larsen</t>
  </si>
  <si>
    <t>Approved after one round</t>
  </si>
  <si>
    <t>Product page templates</t>
  </si>
  <si>
    <t>Sent to client</t>
  </si>
  <si>
    <t>Size chart request in progress</t>
  </si>
  <si>
    <t>CMS build</t>
  </si>
  <si>
    <t>In production</t>
  </si>
  <si>
    <t>Needs full product catalogue CSV</t>
  </si>
  <si>
    <t>Holiday social ad set</t>
  </si>
  <si>
    <t>Revisions</t>
  </si>
  <si>
    <t>Round 2 of 2. Extra TikTok sizes quoted</t>
  </si>
  <si>
    <t>Holiday email series</t>
  </si>
  <si>
    <t>Internal review</t>
  </si>
  <si>
    <t>Logo suite</t>
  </si>
  <si>
    <t>Dr. Raj Patel</t>
  </si>
  <si>
    <t>Brand guidelines</t>
  </si>
  <si>
    <t>Brand blue darkened for accessibility</t>
  </si>
  <si>
    <t>Blocked by booking API credentials</t>
  </si>
  <si>
    <t>Onboarding UX wireframes</t>
  </si>
  <si>
    <t>Jordan Blake</t>
  </si>
  <si>
    <t>Onboarding UI designs</t>
  </si>
  <si>
    <t>Round 4 requested. Over the 2 included rounds</t>
  </si>
  <si>
    <t>Brief</t>
  </si>
  <si>
    <t>Waiting on January pricing</t>
  </si>
  <si>
    <t>Store theme design</t>
  </si>
  <si>
    <t>Mia Fontaine</t>
  </si>
  <si>
    <t>Product photography</t>
  </si>
  <si>
    <t>Shoot list depends on SKU list</t>
  </si>
  <si>
    <t>Whitepaper</t>
  </si>
  <si>
    <t>Oliver Grant</t>
  </si>
  <si>
    <t>Partner review in progress</t>
  </si>
  <si>
    <t>Blog articles (x4)</t>
  </si>
  <si>
    <t>Dr. Hannah Cole</t>
  </si>
  <si>
    <t>Paused with the project</t>
  </si>
  <si>
    <t>Daniel Okafor</t>
  </si>
  <si>
    <t>Menu design</t>
  </si>
  <si>
    <t>Rosa Martinez</t>
  </si>
  <si>
    <t>Store signage</t>
  </si>
  <si>
    <t>Final deliverable before offboarding</t>
  </si>
  <si>
    <t>Ordering site design</t>
  </si>
  <si>
    <t>Kai Thompson</t>
  </si>
  <si>
    <t>Allergen filter request in progress</t>
  </si>
  <si>
    <t>Lena Brooks</t>
  </si>
  <si>
    <t>Round 2 of 2</t>
  </si>
  <si>
    <t>Email nurture series</t>
  </si>
  <si>
    <t>Greg Holloway</t>
  </si>
  <si>
    <t>Sitemap and wireframes</t>
  </si>
  <si>
    <t>Aisha Rahman</t>
  </si>
  <si>
    <t>Starts after discovery workshop</t>
  </si>
  <si>
    <t>Sales deck</t>
  </si>
  <si>
    <t>Victor Ramos</t>
  </si>
  <si>
    <t>Round 3 requested. Over the limit</t>
  </si>
  <si>
    <t>Case study one-pagers</t>
  </si>
  <si>
    <t>Waiting on shipment data</t>
  </si>
  <si>
    <t>Lookbook design</t>
  </si>
  <si>
    <t>Chloe Bennett</t>
  </si>
  <si>
    <t>Simon Hart</t>
  </si>
  <si>
    <t>Can label designs</t>
  </si>
  <si>
    <t>Ben Kowalski</t>
  </si>
  <si>
    <t>Approved after two rounds</t>
  </si>
  <si>
    <t>Natalie Ross</t>
  </si>
  <si>
    <t>Asset tracker</t>
  </si>
  <si>
    <t>Track missing client assets, access requests and outstanding items.</t>
  </si>
  <si>
    <t>Open items</t>
  </si>
  <si>
    <t>Chase now</t>
  </si>
  <si>
    <t>Received</t>
  </si>
  <si>
    <t>Longest wait in days</t>
  </si>
  <si>
    <t>1. Add one row per item you need from the client, such as a file, a login invite or an answer.
2. Enter the date you requested it and the date you need it. Update the status when it arrives.
3. Days waiting and the chase flag are calculated. Do not type over them.
4. Send a reminder for every row flagged Chase now, and note the date in the last chased column.</t>
  </si>
  <si>
    <t>Item needed</t>
  </si>
  <si>
    <t>Type</t>
  </si>
  <si>
    <t>Date requested</t>
  </si>
  <si>
    <t>Needed by</t>
  </si>
  <si>
    <t>Last chased</t>
  </si>
  <si>
    <t>Days waiting</t>
  </si>
  <si>
    <t>Chase flag</t>
  </si>
  <si>
    <t>Full product catalogue CSV</t>
  </si>
  <si>
    <t>File</t>
  </si>
  <si>
    <t>Partly received</t>
  </si>
  <si>
    <t>Half the range received. Needed for CMS build</t>
  </si>
  <si>
    <t>Holiday product photos</t>
  </si>
  <si>
    <t>Invite to Meta Ads Manager</t>
  </si>
  <si>
    <t>Access request</t>
  </si>
  <si>
    <t>Booking system API credentials</t>
  </si>
  <si>
    <t>Reminder sent</t>
  </si>
  <si>
    <t>Blocking landing page go-live</t>
  </si>
  <si>
    <t>Booking landing page sign-off</t>
  </si>
  <si>
    <t>Approval</t>
  </si>
  <si>
    <t>Requested</t>
  </si>
  <si>
    <t>Ask Dr. Patel directly</t>
  </si>
  <si>
    <t>App store screenshots</t>
  </si>
  <si>
    <t>Raise on escalation call</t>
  </si>
  <si>
    <t>January membership pricing</t>
  </si>
  <si>
    <t>Information</t>
  </si>
  <si>
    <t>Shopify store admin invite</t>
  </si>
  <si>
    <t>Product list and SKUs</t>
  </si>
  <si>
    <t>Partner bios and headshots</t>
  </si>
  <si>
    <t>Whitepaper sign-off</t>
  </si>
  <si>
    <t>Updated veterinary services list</t>
  </si>
  <si>
    <t>Client paused project</t>
  </si>
  <si>
    <t>Existing brand assets</t>
  </si>
  <si>
    <t>Brand questionnaire</t>
  </si>
  <si>
    <t>Values section still blank</t>
  </si>
  <si>
    <t>Original logo files</t>
  </si>
  <si>
    <t>Not needed</t>
  </si>
  <si>
    <t>We already hold the master files</t>
  </si>
  <si>
    <t>Menu with prices</t>
  </si>
  <si>
    <t>Payment gateway access</t>
  </si>
  <si>
    <t>Needed before ordering site goes live</t>
  </si>
  <si>
    <t>Winter product photos</t>
  </si>
  <si>
    <t>8 of 14 products still missing</t>
  </si>
  <si>
    <t>Winter catalogue sign-off</t>
  </si>
  <si>
    <t>Client testimonials</t>
  </si>
  <si>
    <t>Domain registrar login</t>
  </si>
  <si>
    <t>Shipment volume data for case studies</t>
  </si>
  <si>
    <t>Blocking case study one-pagers</t>
  </si>
  <si>
    <t>Spring collection product list</t>
  </si>
  <si>
    <t>Project photography rights</t>
  </si>
  <si>
    <t>Reason the project is paused</t>
  </si>
  <si>
    <t>Label printer die-line template</t>
  </si>
  <si>
    <t>Revision tracker</t>
  </si>
  <si>
    <t>Track revision requests, scope status, resolution and approval.</t>
  </si>
  <si>
    <t>Open requests</t>
  </si>
  <si>
    <t>Over limit</t>
  </si>
  <si>
    <t>New requirements</t>
  </si>
  <si>
    <t>Awaiting approval</t>
  </si>
  <si>
    <t>1. Add one row per revision request. Replace the sample rows.
2. Set the round number and scope status, then record the resolution and the approval date.
3. The round flag is calculated. A round above the number included in your scope is marked Over limit.
4. Review every row marked New requirement or Over limit before you start work on it.</t>
  </si>
  <si>
    <t>Request</t>
  </si>
  <si>
    <t>Date received</t>
  </si>
  <si>
    <t>Round number</t>
  </si>
  <si>
    <t>Rounds included</t>
  </si>
  <si>
    <t>Round flag</t>
  </si>
  <si>
    <t>Scope status</t>
  </si>
  <si>
    <t>Resolution</t>
  </si>
  <si>
    <t>Swap hero image for seasonal photo</t>
  </si>
  <si>
    <t>In scope</t>
  </si>
  <si>
    <t>Resolved</t>
  </si>
  <si>
    <t>Add size comparison chart to product template</t>
  </si>
  <si>
    <t>Reasonable revision</t>
  </si>
  <si>
    <t>Pending</t>
  </si>
  <si>
    <t>Change ad headline copy</t>
  </si>
  <si>
    <t>Add two extra ad sizes for TikTok</t>
  </si>
  <si>
    <t>New requirement</t>
  </si>
  <si>
    <t>Quoted as extra</t>
  </si>
  <si>
    <t>Darken brand blue for accessibility</t>
  </si>
  <si>
    <t>Move booking form above the fold</t>
  </si>
  <si>
    <t>Simplify sign-up to 3 steps</t>
  </si>
  <si>
    <t>Approved with changes</t>
  </si>
  <si>
    <t>Add Apple Health integration screens</t>
  </si>
  <si>
    <t>Change request sent</t>
  </si>
  <si>
    <t>Open</t>
  </si>
  <si>
    <t>Rework colour palette again</t>
  </si>
  <si>
    <t>Needs clarification</t>
  </si>
  <si>
    <t>Tone down legal jargon in section 3</t>
  </si>
  <si>
    <t>Replace stock photo in article 2</t>
  </si>
  <si>
    <t>Add gluten-free icons to menu</t>
  </si>
  <si>
    <t>Change signage font to match menu</t>
  </si>
  <si>
    <t>Add allergen filters to menu</t>
  </si>
  <si>
    <t>Reorder catalogue sections by season</t>
  </si>
  <si>
    <t>Replace three product shots</t>
  </si>
  <si>
    <t>Update shipping stats on slide 4</t>
  </si>
  <si>
    <t>Rebuild deck in client template</t>
  </si>
  <si>
    <t>Add French version of deck</t>
  </si>
  <si>
    <t>Make hop illustration larger</t>
  </si>
  <si>
    <t>Change ABV font weight</t>
  </si>
  <si>
    <t>Add enquiry form to project pages</t>
  </si>
  <si>
    <t>Add room upgrade step to booking</t>
  </si>
  <si>
    <t>Client health check scorecard</t>
  </si>
  <si>
    <t>Assess satisfaction, communication quality, delivery risk and renewal likelihood for each client.</t>
  </si>
  <si>
    <t>Healthy</t>
  </si>
  <si>
    <t>Watch</t>
  </si>
  <si>
    <t>At risk</t>
  </si>
  <si>
    <t>Average score out of 20</t>
  </si>
  <si>
    <t>1. Read the scoring guide first, then add one row per client in the scorecard table below it.
2. Score each of the four criteria from 1 to 5, where 5 is the best outcome.
3. The total is out of 20 and is calculated, with the health label. Do not type over them.
4. Health label: 16 to 20 is Healthy, 11 to 15 is Watch, and 10 or less is At risk. A score of 2 sits between the Score 1 and Score 3 descriptions, and a score of 4 sits between Score 3 and Score 5.
5. Run the check on a regular schedule and plan an action for every client labelled Watch or At risk.</t>
  </si>
  <si>
    <t>Scoring guide</t>
  </si>
  <si>
    <t>Criterion</t>
  </si>
  <si>
    <t>Score 1</t>
  </si>
  <si>
    <t>Score 3</t>
  </si>
  <si>
    <t>Score 5</t>
  </si>
  <si>
    <t>Satisfaction</t>
  </si>
  <si>
    <t>Client is openly unhappy</t>
  </si>
  <si>
    <t>Client is neutral</t>
  </si>
  <si>
    <t>Client is clearly pleased</t>
  </si>
  <si>
    <t>Communication quality</t>
  </si>
  <si>
    <t>Replies are rare or slow</t>
  </si>
  <si>
    <t>Replies are steady but late at times</t>
  </si>
  <si>
    <t>Replies are fast and clear</t>
  </si>
  <si>
    <t>Delivery risk</t>
  </si>
  <si>
    <t>Deadlines are missed or at serious risk</t>
  </si>
  <si>
    <t>Some items are at risk</t>
  </si>
  <si>
    <t>Delivery is on track</t>
  </si>
  <si>
    <t>Renewal likelihood</t>
  </si>
  <si>
    <t>Unlikely to continue</t>
  </si>
  <si>
    <t>Undecided</t>
  </si>
  <si>
    <t>Very likely to continue</t>
  </si>
  <si>
    <t>Check date</t>
  </si>
  <si>
    <t>Total score</t>
  </si>
  <si>
    <t>Health label</t>
  </si>
  <si>
    <t>Propose 2027 retainer at renewal</t>
  </si>
  <si>
    <t>Unblock landing page before renewal talk</t>
  </si>
  <si>
    <t>Escalation call to reset scope and timeline</t>
  </si>
  <si>
    <t>Keep onboarding on schedule</t>
  </si>
  <si>
    <t>Agree a faster approval route with partners</t>
  </si>
  <si>
    <t>Confirm restart date or wind down</t>
  </si>
  <si>
    <t>Build trust with strong logo concepts</t>
  </si>
  <si>
    <t>Deliver clean handover. Ask for a referral</t>
  </si>
  <si>
    <t>Discuss phase 2 delivery app</t>
  </si>
  <si>
    <t>Recover catalogue timeline before renewal</t>
  </si>
  <si>
    <t>Pitch year-round content retainer</t>
  </si>
  <si>
    <t>Keep discovery on schedule</t>
  </si>
  <si>
    <t>Reset scope with change request</t>
  </si>
  <si>
    <t>Ask for case study permission</t>
  </si>
  <si>
    <t>Clear photo rights to restart</t>
  </si>
  <si>
    <t>Lock renewal after labels go to print</t>
  </si>
  <si>
    <t>Strong kickoff to build trust</t>
  </si>
  <si>
    <t>Closed. Send survey and ask for a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</si>
</sst>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color theme="1"/>
      <name val="Calibri"/>
      <family val="2"/>
      <scheme val="minor"/>
    </font>
    <font>
      <b/>
      <sz val="18"/>
      <color rgb="FFFFFFFF"/>
      <name val="Calibri"/>
    </font>
    <font>
      <sz val="11"/>
      <color rgb="FF4F566B"/>
      <name val="Calibri"/>
    </font>
    <font>
      <b/>
      <sz val="9"/>
      <color rgb="FF4F566B"/>
      <name val="Calibri"/>
    </font>
    <font>
      <b/>
      <sz val="20"/>
      <color rgb="FF1A1F36"/>
      <name val="Calibri"/>
    </font>
    <font>
      <b/>
      <sz val="11"/>
      <color rgb="FF4338CA"/>
      <name val="Calibri"/>
    </font>
    <font>
      <sz val="11"/>
      <color rgb="FF1A1F36"/>
      <name val="Calibri"/>
    </font>
    <font>
      <b/>
      <sz val="11"/>
      <color rgb="FFFFFFFF"/>
      <name val="Calibri"/>
    </font>
    <font>
      <b/>
      <sz val="11"/>
      <color rgb="FF1A1F36"/>
      <name val="Calibri"/>
    </font>
  </fonts>
  <fills count="5">
    <fill>
      <patternFill patternType="none"/>
    </fill>
    <fill>
      <patternFill patternType="gray125"/>
    </fill>
    <fill>
      <patternFill patternType="solid">
        <fgColor rgb="FF1A1F36"/>
        <bgColor rgb="FF1A1F36"/>
      </patternFill>
    </fill>
    <fill>
      <patternFill patternType="solid">
        <fgColor rgb="FFF6F9FC"/>
        <bgColor rgb="FFF6F9FC"/>
      </patternFill>
    </fill>
    <fill>
      <patternFill patternType="solid">
        <fgColor rgb="FFEEF0FF"/>
        <bgColor rgb="FFEEF0FF"/>
      </patternFill>
    </fill>
  </fills>
  <borders count="3">
    <border>
      <left/>
      <right/>
      <top/>
      <bottom/>
      <diagonal/>
    </border>
    <border>
      <left style="thick">
        <color rgb="FFFFFFFF"/>
      </left>
      <right style="thick">
        <color rgb="FFFFFFFF"/>
      </right>
      <top/>
      <bottom/>
      <diagonal/>
    </border>
    <border>
      <left/>
      <right/>
      <top/>
      <bottom style="thin">
        <color rgb="FFE3E8EE"/>
      </bottom>
      <diagonal/>
    </border>
  </borders>
  <cellStyleXfs count="1">
    <xf numFmtId="0" fontId="0" fillId="0" borderId="0"/>
  </cellStyleXfs>
  <cellXfs count="18">
    <xf numFmtId="0" fontId="0" fillId="0" borderId="0" xfId="0"/>
    <xf numFmtId="0" fontId="7" fillId="2" borderId="0" xfId="0" applyFont="1" applyFill="1" applyAlignment="1">
      <alignment vertical="center" wrapText="1" indent="1"/>
    </xf>
    <xf numFmtId="0" fontId="0" fillId="0" borderId="2" xfId="0" applyBorder="1" applyAlignment="1">
      <alignment vertical="center" indent="1"/>
    </xf>
    <xf numFmtId="164" fontId="0" fillId="0" borderId="2" xfId="0" applyNumberFormat="1" applyBorder="1" applyAlignment="1">
      <alignment vertical="center" indent="1"/>
    </xf>
    <xf numFmtId="0" fontId="1" fillId="2" borderId="0" xfId="0" applyFont="1" applyFill="1" applyAlignment="1">
      <alignment vertical="center" indent="1"/>
    </xf>
    <xf numFmtId="0" fontId="4" fillId="4" borderId="1" xfId="0" applyFont="1" applyFill="1" applyBorder="1" applyAlignment="1">
      <alignment horizontal="left" vertical="center" indent="1"/>
    </xf>
    <xf numFmtId="0" fontId="3" fillId="4" borderId="1" xfId="0" applyFont="1" applyFill="1" applyBorder="1" applyAlignment="1">
      <alignment vertical="center" indent="1"/>
    </xf>
    <xf numFmtId="0" fontId="6" fillId="3" borderId="0" xfId="0" applyFont="1" applyFill="1" applyAlignment="1">
      <alignment vertical="center" wrapText="1" indent="1"/>
    </xf>
    <xf numFmtId="0" fontId="5" fillId="0" borderId="0" xfId="0" applyFont="1" applyAlignment="1">
      <alignment vertical="center" indent="1"/>
    </xf>
    <xf numFmtId="0" fontId="2" fillId="3" borderId="0" xfId="0" applyFont="1" applyFill="1" applyAlignment="1">
      <alignment vertical="center" indent="1"/>
    </xf>
    <xf numFmtId="0" fontId="6" fillId="0" borderId="2" xfId="0" applyFont="1" applyBorder="1" applyAlignment="1">
      <alignment vertical="top" wrapText="1" indent="1"/>
    </xf>
    <xf numFmtId="0" fontId="8" fillId="0" borderId="2" xfId="0" applyFont="1" applyBorder="1" applyAlignment="1">
      <alignment vertical="top" wrapText="1" indent="1"/>
    </xf>
    <xf numFmtId="0" fontId="7" fillId="2" borderId="0" xfId="0" applyFont="1" applyFill="1" applyAlignment="1">
      <alignment vertical="center" indent="1"/>
    </xf>
    <xf numFmtId="0" fontId="0" fillId="2" borderId="0" xfId="0" applyFill="1" applyAlignment="1"/>
    <xf numFmtId="0" fontId="0" fillId="3" borderId="0" xfId="0" applyFill="1" applyAlignment="1"/>
    <xf numFmtId="0" fontId="0" fillId="4" borderId="1" xfId="0" applyFill="1" applyBorder="1" applyAlignment="1"/>
    <xf numFmtId="0" fontId="0" fillId="0" borderId="0" xfId="0" applyAlignment="1"/>
    <xf numFmtId="0" fontId="0" fillId="0" borderId="2" xfId="0" applyBorder="1" applyAlignment="1"/>
  </cellXfs>
  <cellStyles count="1">
    <cellStyle name="Normal" xfId="0" builtinId="0"/>
  </cellStyles>
  <dxfs count="67">
    <dxf>
      <font>
        <b/>
        <sz val="20"/>
        <color rgb="FFA12B2B"/>
      </font>
      <fill>
        <patternFill patternType="solid">
          <fgColor rgb="FFFDE7E7"/>
          <bgColor rgb="FFFDE7E7"/>
        </patternFill>
      </fill>
    </dxf>
    <dxf>
      <font>
        <b/>
        <sz val="20"/>
        <color rgb="FF8A5A00"/>
      </font>
      <fill>
        <patternFill patternType="solid">
          <fgColor rgb="FFFFF3D6"/>
          <bgColor rgb="FFFFF3D6"/>
        </patternFill>
      </fill>
    </dxf>
    <dxf>
      <fill>
        <patternFill patternType="solid">
          <fgColor rgb="FFF6F9FC"/>
          <bgColor rgb="FFF6F9FC"/>
        </patternFill>
      </fill>
    </dxf>
    <dxf>
      <font>
        <color rgb="FFA12B2B"/>
      </font>
      <fill>
        <patternFill patternType="solid">
          <fgColor rgb="FFFDE7E7"/>
          <bgColor rgb="FFFDE7E7"/>
        </patternFill>
      </fill>
    </dxf>
    <dxf>
      <font>
        <color rgb="FF8A5A00"/>
      </font>
      <fill>
        <patternFill patternType="solid">
          <fgColor rgb="FFFFF3D6"/>
          <bgColor rgb="FFFFF3D6"/>
        </patternFill>
      </fill>
    </dxf>
    <dxf>
      <font>
        <color rgb="FF1F7A4D"/>
      </font>
      <fill>
        <patternFill patternType="solid">
          <fgColor rgb="FFE3F5EA"/>
          <bgColor rgb="FFE3F5EA"/>
        </patternFill>
      </fill>
    </dxf>
    <dxf>
      <font>
        <b/>
        <sz val="20"/>
        <color rgb="FF8A5A00"/>
      </font>
      <fill>
        <patternFill patternType="solid">
          <fgColor rgb="FFFFF3D6"/>
          <bgColor rgb="FFFFF3D6"/>
        </patternFill>
      </fill>
    </dxf>
    <dxf>
      <font>
        <b/>
        <sz val="20"/>
        <color rgb="FFA12B2B"/>
      </font>
      <fill>
        <patternFill patternType="solid">
          <fgColor rgb="FFFDE7E7"/>
          <bgColor rgb="FFFDE7E7"/>
        </patternFill>
      </fill>
    </dxf>
    <dxf>
      <fill>
        <patternFill patternType="solid">
          <fgColor rgb="FFF6F9FC"/>
          <bgColor rgb="FFF6F9FC"/>
        </patternFill>
      </fill>
    </dxf>
    <dxf>
      <font>
        <color rgb="FFA12B2B"/>
      </font>
      <fill>
        <patternFill patternType="solid">
          <fgColor rgb="FFFDE7E7"/>
          <bgColor rgb="FFFDE7E7"/>
        </patternFill>
      </fill>
    </dxf>
    <dxf>
      <font>
        <color rgb="FF8A5A00"/>
      </font>
      <fill>
        <patternFill patternType="solid">
          <fgColor rgb="FFFFF3D6"/>
          <bgColor rgb="FFFFF3D6"/>
        </patternFill>
      </fill>
    </dxf>
    <dxf>
      <font>
        <color rgb="FF1F7A4D"/>
      </font>
      <fill>
        <patternFill patternType="solid">
          <fgColor rgb="FFE3F5EA"/>
          <bgColor rgb="FFE3F5EA"/>
        </patternFill>
      </fill>
    </dxf>
    <dxf>
      <font>
        <color rgb="FF8A5A00"/>
      </font>
      <fill>
        <patternFill patternType="solid">
          <fgColor rgb="FFFFF3D6"/>
          <bgColor rgb="FFFFF3D6"/>
        </patternFill>
      </fill>
    </dxf>
    <dxf>
      <font>
        <color rgb="FF8A5A00"/>
      </font>
      <fill>
        <patternFill patternType="solid">
          <fgColor rgb="FFFFF3D6"/>
          <bgColor rgb="FFFFF3D6"/>
        </patternFill>
      </fill>
    </dxf>
    <dxf>
      <font>
        <color rgb="FF1F7A4D"/>
      </font>
      <fill>
        <patternFill patternType="solid">
          <fgColor rgb="FFE3F5EA"/>
          <bgColor rgb="FFE3F5EA"/>
        </patternFill>
      </fill>
    </dxf>
    <dxf>
      <font>
        <color rgb="FF1F7A4D"/>
      </font>
      <fill>
        <patternFill patternType="solid">
          <fgColor rgb="FFE3F5EA"/>
          <bgColor rgb="FFE3F5EA"/>
        </patternFill>
      </fill>
    </dxf>
    <dxf>
      <font>
        <color rgb="FF8A5A00"/>
      </font>
      <fill>
        <patternFill patternType="solid">
          <fgColor rgb="FFFFF3D6"/>
          <bgColor rgb="FFFFF3D6"/>
        </patternFill>
      </fill>
    </dxf>
    <dxf>
      <font>
        <color rgb="FF8A5A00"/>
      </font>
      <fill>
        <patternFill patternType="solid">
          <fgColor rgb="FFFFF3D6"/>
          <bgColor rgb="FFFFF3D6"/>
        </patternFill>
      </fill>
    </dxf>
    <dxf>
      <font>
        <color rgb="FF8A5A00"/>
      </font>
      <fill>
        <patternFill patternType="solid">
          <fgColor rgb="FFFFF3D6"/>
          <bgColor rgb="FFFFF3D6"/>
        </patternFill>
      </fill>
    </dxf>
    <dxf>
      <font>
        <color rgb="FF8A5A00"/>
      </font>
      <fill>
        <patternFill patternType="solid">
          <fgColor rgb="FFFFF3D6"/>
          <bgColor rgb="FFFFF3D6"/>
        </patternFill>
      </fill>
    </dxf>
    <dxf>
      <font>
        <color rgb="FFA12B2B"/>
      </font>
      <fill>
        <patternFill patternType="solid">
          <fgColor rgb="FFFDE7E7"/>
          <bgColor rgb="FFFDE7E7"/>
        </patternFill>
      </fill>
    </dxf>
    <dxf>
      <font>
        <color rgb="FF1F7A4D"/>
      </font>
      <fill>
        <patternFill patternType="solid">
          <fgColor rgb="FFE3F5EA"/>
          <bgColor rgb="FFE3F5EA"/>
        </patternFill>
      </fill>
    </dxf>
    <dxf>
      <font>
        <color rgb="FF1F7A4D"/>
      </font>
      <fill>
        <patternFill patternType="solid">
          <fgColor rgb="FFE3F5EA"/>
          <bgColor rgb="FFE3F5EA"/>
        </patternFill>
      </fill>
    </dxf>
    <dxf>
      <font>
        <color rgb="FF1F7A4D"/>
      </font>
      <fill>
        <patternFill patternType="solid">
          <fgColor rgb="FFE3F5EA"/>
          <bgColor rgb="FFE3F5EA"/>
        </patternFill>
      </fill>
    </dxf>
    <dxf>
      <font>
        <color rgb="FF8A5A00"/>
      </font>
      <fill>
        <patternFill patternType="solid">
          <fgColor rgb="FFFFF3D6"/>
          <bgColor rgb="FFFFF3D6"/>
        </patternFill>
      </fill>
    </dxf>
    <dxf>
      <font>
        <color rgb="FFA12B2B"/>
      </font>
      <fill>
        <patternFill patternType="solid">
          <fgColor rgb="FFFDE7E7"/>
          <bgColor rgb="FFFDE7E7"/>
        </patternFill>
      </fill>
    </dxf>
    <dxf>
      <font>
        <b/>
        <sz val="20"/>
        <color rgb="FFA12B2B"/>
      </font>
      <fill>
        <patternFill patternType="solid">
          <fgColor rgb="FFFDE7E7"/>
          <bgColor rgb="FFFDE7E7"/>
        </patternFill>
      </fill>
    </dxf>
    <dxf>
      <fill>
        <patternFill patternType="solid">
          <fgColor rgb="FFF6F9FC"/>
          <bgColor rgb="FFF6F9FC"/>
        </patternFill>
      </fill>
    </dxf>
    <dxf>
      <font>
        <color rgb="FF1F7A4D"/>
      </font>
      <fill>
        <patternFill patternType="solid">
          <fgColor rgb="FFE3F5EA"/>
          <bgColor rgb="FFE3F5EA"/>
        </patternFill>
      </fill>
    </dxf>
    <dxf>
      <font>
        <color rgb="FF8A5A00"/>
      </font>
      <fill>
        <patternFill patternType="solid">
          <fgColor rgb="FFFFF3D6"/>
          <bgColor rgb="FFFFF3D6"/>
        </patternFill>
      </fill>
    </dxf>
    <dxf>
      <font>
        <color rgb="FFA12B2B"/>
      </font>
      <fill>
        <patternFill patternType="solid">
          <fgColor rgb="FFFDE7E7"/>
          <bgColor rgb="FFFDE7E7"/>
        </patternFill>
      </fill>
    </dxf>
    <dxf>
      <font>
        <color rgb="FF1F7A4D"/>
      </font>
      <fill>
        <patternFill patternType="solid">
          <fgColor rgb="FFE3F5EA"/>
          <bgColor rgb="FFE3F5EA"/>
        </patternFill>
      </fill>
    </dxf>
    <dxf>
      <font>
        <color rgb="FF1F7A4D"/>
      </font>
      <fill>
        <patternFill patternType="solid">
          <fgColor rgb="FFE3F5EA"/>
          <bgColor rgb="FFE3F5EA"/>
        </patternFill>
      </fill>
    </dxf>
    <dxf>
      <font>
        <color rgb="FF8A5A00"/>
      </font>
      <fill>
        <patternFill patternType="solid">
          <fgColor rgb="FFFFF3D6"/>
          <bgColor rgb="FFFFF3D6"/>
        </patternFill>
      </fill>
    </dxf>
    <dxf>
      <font>
        <color rgb="FF8A5A00"/>
      </font>
      <fill>
        <patternFill patternType="solid">
          <fgColor rgb="FFFFF3D6"/>
          <bgColor rgb="FFFFF3D6"/>
        </patternFill>
      </fill>
    </dxf>
    <dxf>
      <font>
        <color rgb="FF8A5A00"/>
      </font>
      <fill>
        <patternFill patternType="solid">
          <fgColor rgb="FFFFF3D6"/>
          <bgColor rgb="FFFFF3D6"/>
        </patternFill>
      </fill>
    </dxf>
    <dxf>
      <font>
        <b/>
        <sz val="20"/>
        <color rgb="FF8A5A00"/>
      </font>
      <fill>
        <patternFill patternType="solid">
          <fgColor rgb="FFFFF3D6"/>
          <bgColor rgb="FFFFF3D6"/>
        </patternFill>
      </fill>
    </dxf>
    <dxf>
      <font>
        <b/>
        <sz val="20"/>
        <color rgb="FFA12B2B"/>
      </font>
      <fill>
        <patternFill patternType="solid">
          <fgColor rgb="FFFDE7E7"/>
          <bgColor rgb="FFFDE7E7"/>
        </patternFill>
      </fill>
    </dxf>
    <dxf>
      <fill>
        <patternFill patternType="solid">
          <fgColor rgb="FFF6F9FC"/>
          <bgColor rgb="FFF6F9FC"/>
        </patternFill>
      </fill>
    </dxf>
    <dxf>
      <font>
        <color rgb="FF1F7A4D"/>
      </font>
      <fill>
        <patternFill patternType="solid">
          <fgColor rgb="FFE3F5EA"/>
          <bgColor rgb="FFE3F5EA"/>
        </patternFill>
      </fill>
    </dxf>
    <dxf>
      <font>
        <color rgb="FF1F7A4D"/>
      </font>
      <fill>
        <patternFill patternType="solid">
          <fgColor rgb="FFE3F5EA"/>
          <bgColor rgb="FFE3F5EA"/>
        </patternFill>
      </fill>
    </dxf>
    <dxf>
      <font>
        <color rgb="FF8A5A00"/>
      </font>
      <fill>
        <patternFill patternType="solid">
          <fgColor rgb="FFFFF3D6"/>
          <bgColor rgb="FFFFF3D6"/>
        </patternFill>
      </fill>
    </dxf>
    <dxf>
      <font>
        <color rgb="FFA12B2B"/>
      </font>
      <fill>
        <patternFill patternType="solid">
          <fgColor rgb="FFFDE7E7"/>
          <bgColor rgb="FFFDE7E7"/>
        </patternFill>
      </fill>
    </dxf>
    <dxf>
      <font>
        <color rgb="FF1F7A4D"/>
      </font>
      <fill>
        <patternFill patternType="solid">
          <fgColor rgb="FFE3F5EA"/>
          <bgColor rgb="FFE3F5EA"/>
        </patternFill>
      </fill>
    </dxf>
    <dxf>
      <font>
        <color rgb="FF8A5A00"/>
      </font>
      <fill>
        <patternFill patternType="solid">
          <fgColor rgb="FFFFF3D6"/>
          <bgColor rgb="FFFFF3D6"/>
        </patternFill>
      </fill>
    </dxf>
    <dxf>
      <font>
        <color rgb="FF1F7A4D"/>
      </font>
      <fill>
        <patternFill patternType="solid">
          <fgColor rgb="FFE3F5EA"/>
          <bgColor rgb="FFE3F5EA"/>
        </patternFill>
      </fill>
    </dxf>
    <dxf>
      <font>
        <color rgb="FF8A5A00"/>
      </font>
      <fill>
        <patternFill patternType="solid">
          <fgColor rgb="FFFFF3D6"/>
          <bgColor rgb="FFFFF3D6"/>
        </patternFill>
      </fill>
    </dxf>
    <dxf>
      <font>
        <color rgb="FF8A5A00"/>
      </font>
      <fill>
        <patternFill patternType="solid">
          <fgColor rgb="FFFFF3D6"/>
          <bgColor rgb="FFFFF3D6"/>
        </patternFill>
      </fill>
    </dxf>
    <dxf>
      <font>
        <color rgb="FF8A5A00"/>
      </font>
      <fill>
        <patternFill patternType="solid">
          <fgColor rgb="FFFFF3D6"/>
          <bgColor rgb="FFFFF3D6"/>
        </patternFill>
      </fill>
    </dxf>
    <dxf>
      <font>
        <b/>
        <sz val="20"/>
        <color rgb="FF8A5A00"/>
      </font>
      <fill>
        <patternFill patternType="solid">
          <fgColor rgb="FFFFF3D6"/>
          <bgColor rgb="FFFFF3D6"/>
        </patternFill>
      </fill>
    </dxf>
    <dxf>
      <font>
        <b/>
        <sz val="20"/>
        <color rgb="FFA12B2B"/>
      </font>
      <fill>
        <patternFill patternType="solid">
          <fgColor rgb="FFFDE7E7"/>
          <bgColor rgb="FFFDE7E7"/>
        </patternFill>
      </fill>
    </dxf>
    <dxf>
      <fill>
        <patternFill patternType="solid">
          <fgColor rgb="FFF6F9FC"/>
          <bgColor rgb="FFF6F9FC"/>
        </patternFill>
      </fill>
    </dxf>
    <dxf>
      <font>
        <color rgb="FF1F7A4D"/>
      </font>
      <fill>
        <patternFill patternType="solid">
          <fgColor rgb="FFE3F5EA"/>
          <bgColor rgb="FFE3F5EA"/>
        </patternFill>
      </fill>
    </dxf>
    <dxf>
      <font>
        <color rgb="FF8A5A00"/>
      </font>
      <fill>
        <patternFill patternType="solid">
          <fgColor rgb="FFFFF3D6"/>
          <bgColor rgb="FFFFF3D6"/>
        </patternFill>
      </fill>
    </dxf>
    <dxf>
      <font>
        <color rgb="FFA12B2B"/>
      </font>
      <fill>
        <patternFill patternType="solid">
          <fgColor rgb="FFFDE7E7"/>
          <bgColor rgb="FFFDE7E7"/>
        </patternFill>
      </fill>
    </dxf>
    <dxf>
      <font>
        <color rgb="FF1F7A4D"/>
      </font>
      <fill>
        <patternFill patternType="solid">
          <fgColor rgb="FFE3F5EA"/>
          <bgColor rgb="FFE3F5EA"/>
        </patternFill>
      </fill>
    </dxf>
    <dxf>
      <font>
        <color rgb="FFA12B2B"/>
      </font>
      <fill>
        <patternFill patternType="solid">
          <fgColor rgb="FFFDE7E7"/>
          <bgColor rgb="FFFDE7E7"/>
        </patternFill>
      </fill>
    </dxf>
    <dxf>
      <font>
        <color rgb="FF1F7A4D"/>
      </font>
      <fill>
        <patternFill patternType="solid">
          <fgColor rgb="FFE3F5EA"/>
          <bgColor rgb="FFE3F5EA"/>
        </patternFill>
      </fill>
    </dxf>
    <dxf>
      <font>
        <color rgb="FF1F7A4D"/>
      </font>
      <fill>
        <patternFill patternType="solid">
          <fgColor rgb="FFE3F5EA"/>
          <bgColor rgb="FFE3F5EA"/>
        </patternFill>
      </fill>
    </dxf>
    <dxf>
      <font>
        <color rgb="FF8A5A00"/>
      </font>
      <fill>
        <patternFill patternType="solid">
          <fgColor rgb="FFFFF3D6"/>
          <bgColor rgb="FFFFF3D6"/>
        </patternFill>
      </fill>
    </dxf>
    <dxf>
      <fill>
        <patternFill patternType="solid">
          <fgColor rgb="FFF6F9FC"/>
          <bgColor rgb="FFF6F9FC"/>
        </patternFill>
      </fill>
    </dxf>
    <dxf>
      <font>
        <b/>
        <sz val="20"/>
        <color rgb="FF8A5A00"/>
      </font>
      <fill>
        <patternFill patternType="solid">
          <fgColor rgb="FFFFF3D6"/>
          <bgColor rgb="FFFFF3D6"/>
        </patternFill>
      </fill>
    </dxf>
    <dxf>
      <font>
        <b/>
        <sz val="20"/>
        <color rgb="FFA12B2B"/>
      </font>
      <fill>
        <patternFill patternType="solid">
          <fgColor rgb="FFFDE7E7"/>
          <bgColor rgb="FFFDE7E7"/>
        </patternFill>
      </fill>
    </dxf>
    <dxf>
      <fill>
        <patternFill patternType="solid">
          <fgColor rgb="FFF6F9FC"/>
          <bgColor rgb="FFF6F9FC"/>
        </patternFill>
      </fill>
    </dxf>
    <dxf>
      <font>
        <color rgb="FFA12B2B"/>
      </font>
      <fill>
        <patternFill patternType="solid">
          <fgColor rgb="FFFDE7E7"/>
          <bgColor rgb="FFFDE7E7"/>
        </patternFill>
      </fill>
    </dxf>
    <dxf>
      <font>
        <color rgb="FF8A5A00"/>
      </font>
      <fill>
        <patternFill patternType="solid">
          <fgColor rgb="FFFFF3D6"/>
          <bgColor rgb="FFFFF3D6"/>
        </patternFill>
      </fill>
    </dxf>
    <dxf>
      <font>
        <color rgb="FF1F7A4D"/>
      </font>
      <fill>
        <patternFill patternType="solid">
          <fgColor rgb="FFE3F5EA"/>
          <bgColor rgb="FFE3F5E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55CFC9-5F29-4AFB-8A77-4EF4B340DCED}">
  <we:reference id="WA200009404" version="1.0.0.8" store="fr-fr" storeType="omex"/>
  <we:alternateReferences>
    <we:reference id="WA200009404" version="1.0.0.8" store="fr-fr" storeType="omex"/>
  </we:alternateReferences>
  <we:properties>
    <we:property name="claude.fileId" value="&quot;b4ad08bb-4665-44d7-83b0-6f0df7215fb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338CA"/>
  </sheetPr>
  <dimension ref="A1:I1000"/>
  <sheetViews>
    <sheetView showGridLines="0" tabSelected="1" topLeftCell="A4" workbookViewId="0">
      <selection activeCell="A4" sqref="A4"/>
    </sheetView>
  </sheetViews>
  <sheetFormatPr defaultRowHeight="15"/>
  <cols>
    <col min="1" max="1" width="26" customWidth="1"/>
    <col min="2" max="2" width="16" customWidth="1"/>
    <col min="3" max="3" width="18" customWidth="1"/>
    <col min="4" max="4" width="36" customWidth="1"/>
    <col min="5" max="5" width="18" customWidth="1"/>
    <col min="6" max="7" width="16" customWidth="1"/>
    <col min="8" max="8" width="14" customWidth="1"/>
    <col min="9" max="9" width="40" customWidth="1"/>
  </cols>
  <sheetData>
    <row r="1" spans="1:9" ht="36" customHeight="1">
      <c r="A1" s="4" t="s">
        <v>0</v>
      </c>
      <c r="B1" s="13"/>
      <c r="C1" s="13"/>
      <c r="D1" s="13"/>
      <c r="E1" s="13"/>
      <c r="F1" s="13"/>
      <c r="G1" s="13"/>
      <c r="H1" s="13"/>
      <c r="I1" s="13"/>
    </row>
    <row r="2" spans="1:9" ht="24" customHeight="1">
      <c r="A2" s="9" t="s">
        <v>1</v>
      </c>
      <c r="B2" s="14"/>
      <c r="C2" s="14"/>
      <c r="D2" s="14"/>
      <c r="E2" s="14"/>
      <c r="F2" s="14"/>
      <c r="G2" s="14"/>
      <c r="H2" s="14"/>
      <c r="I2" s="14"/>
    </row>
    <row r="3" spans="1:9" ht="8.1" customHeight="1"/>
    <row r="4" spans="1:9" ht="20.100000000000001" customHeight="1">
      <c r="A4" s="6" t="s">
        <v>2</v>
      </c>
      <c r="B4" s="15"/>
      <c r="C4" s="6" t="s">
        <v>3</v>
      </c>
      <c r="D4" s="15"/>
      <c r="E4" s="6" t="s">
        <v>4</v>
      </c>
      <c r="F4" s="15"/>
      <c r="G4" s="15"/>
      <c r="H4" s="6" t="s">
        <v>5</v>
      </c>
      <c r="I4" s="15"/>
    </row>
    <row r="5" spans="1:9" ht="33.950000000000003" customHeight="1">
      <c r="A5" s="5">
        <f>COUNTIF($B$11:$B$210,"Active")</f>
        <v>10</v>
      </c>
      <c r="B5" s="15"/>
      <c r="C5" s="5">
        <f>COUNTIF($B$11:$B$210,"Onboarding")</f>
        <v>4</v>
      </c>
      <c r="D5" s="15"/>
      <c r="E5" s="5">
        <f>COUNTIF($H$11:$H$210,"High")</f>
        <v>3</v>
      </c>
      <c r="F5" s="15"/>
      <c r="G5" s="15"/>
      <c r="H5" s="5">
        <f ca="1">COUNTIFS($G$11:$G$210,"&gt;=0",$G$11:$G$210,"&lt;=30")</f>
        <v>5</v>
      </c>
      <c r="I5" s="15"/>
    </row>
    <row r="6" spans="1:9" ht="9.9499999999999993" customHeight="1"/>
    <row r="7" spans="1:9" ht="21.95" customHeight="1">
      <c r="A7" s="8" t="s">
        <v>6</v>
      </c>
      <c r="B7" s="16"/>
      <c r="C7" s="16"/>
      <c r="D7" s="16"/>
      <c r="E7" s="16"/>
      <c r="F7" s="16"/>
      <c r="G7" s="16"/>
      <c r="H7" s="16"/>
      <c r="I7" s="16"/>
    </row>
    <row r="8" spans="1:9" ht="66" customHeight="1">
      <c r="A8" s="7" t="s">
        <v>7</v>
      </c>
      <c r="B8" s="14"/>
      <c r="C8" s="14"/>
      <c r="D8" s="14"/>
      <c r="E8" s="14"/>
      <c r="F8" s="14"/>
      <c r="G8" s="14"/>
      <c r="H8" s="14"/>
      <c r="I8" s="14"/>
    </row>
    <row r="9" spans="1:9" ht="12" customHeight="1"/>
    <row r="10" spans="1:9" ht="32.1" customHeight="1">
      <c r="A10" s="1" t="s">
        <v>8</v>
      </c>
      <c r="B10" s="1" t="s">
        <v>9</v>
      </c>
      <c r="C10" s="1" t="s">
        <v>10</v>
      </c>
      <c r="D10" s="1" t="s">
        <v>11</v>
      </c>
      <c r="E10" s="1" t="s">
        <v>12</v>
      </c>
      <c r="F10" s="1" t="s">
        <v>13</v>
      </c>
      <c r="G10" s="1" t="s">
        <v>14</v>
      </c>
      <c r="H10" s="1" t="s">
        <v>15</v>
      </c>
      <c r="I10" s="1" t="s">
        <v>16</v>
      </c>
    </row>
    <row r="11" spans="1:9">
      <c r="A11" s="2" t="s">
        <v>17</v>
      </c>
      <c r="B11" s="2" t="s">
        <v>18</v>
      </c>
      <c r="C11" s="2" t="s">
        <v>19</v>
      </c>
      <c r="D11" s="2" t="s">
        <v>20</v>
      </c>
      <c r="E11" s="3">
        <v>46315</v>
      </c>
      <c r="F11" s="3">
        <v>46477</v>
      </c>
      <c r="G11" s="2">
        <f ca="1">IF(F11="","",F11-TODAY())</f>
        <v>169</v>
      </c>
      <c r="H11" s="2" t="s">
        <v>21</v>
      </c>
      <c r="I11" s="2" t="s">
        <v>22</v>
      </c>
    </row>
    <row r="12" spans="1:9">
      <c r="A12" s="2" t="s">
        <v>23</v>
      </c>
      <c r="B12" s="2" t="s">
        <v>18</v>
      </c>
      <c r="C12" s="2" t="s">
        <v>24</v>
      </c>
      <c r="D12" s="2" t="s">
        <v>25</v>
      </c>
      <c r="E12" s="3">
        <v>46309</v>
      </c>
      <c r="F12" s="3">
        <v>46331</v>
      </c>
      <c r="G12" s="2">
        <f ca="1">IF(F12="","",F12-TODAY())</f>
        <v>23</v>
      </c>
      <c r="H12" s="2" t="s">
        <v>26</v>
      </c>
      <c r="I12" s="2" t="s">
        <v>27</v>
      </c>
    </row>
    <row r="13" spans="1:9">
      <c r="A13" s="2" t="s">
        <v>28</v>
      </c>
      <c r="B13" s="2" t="s">
        <v>18</v>
      </c>
      <c r="C13" s="2" t="s">
        <v>29</v>
      </c>
      <c r="D13" s="2" t="s">
        <v>30</v>
      </c>
      <c r="E13" s="3">
        <v>46310</v>
      </c>
      <c r="F13" s="3">
        <v>46325</v>
      </c>
      <c r="G13" s="2">
        <f ca="1">IF(F13="","",F13-TODAY())</f>
        <v>17</v>
      </c>
      <c r="H13" s="2" t="s">
        <v>31</v>
      </c>
      <c r="I13" s="2" t="s">
        <v>32</v>
      </c>
    </row>
    <row r="14" spans="1:9">
      <c r="A14" s="2" t="s">
        <v>33</v>
      </c>
      <c r="B14" s="2" t="s">
        <v>34</v>
      </c>
      <c r="C14" s="2" t="s">
        <v>35</v>
      </c>
      <c r="D14" s="2" t="s">
        <v>36</v>
      </c>
      <c r="E14" s="3">
        <v>46315</v>
      </c>
      <c r="F14" s="3">
        <v>46660</v>
      </c>
      <c r="G14" s="2">
        <f ca="1">IF(F14="","",F14-TODAY())</f>
        <v>352</v>
      </c>
      <c r="H14" s="2" t="s">
        <v>21</v>
      </c>
      <c r="I14" s="2" t="s">
        <v>37</v>
      </c>
    </row>
    <row r="15" spans="1:9">
      <c r="A15" s="2" t="s">
        <v>38</v>
      </c>
      <c r="B15" s="2" t="s">
        <v>18</v>
      </c>
      <c r="C15" s="2" t="s">
        <v>19</v>
      </c>
      <c r="D15" s="2" t="s">
        <v>39</v>
      </c>
      <c r="E15" s="3">
        <v>46310</v>
      </c>
      <c r="F15" s="3">
        <v>46402</v>
      </c>
      <c r="G15" s="2">
        <f ca="1">IF(F15="","",F15-TODAY())</f>
        <v>94</v>
      </c>
      <c r="H15" s="2" t="s">
        <v>26</v>
      </c>
      <c r="I15" s="2" t="s">
        <v>40</v>
      </c>
    </row>
    <row r="16" spans="1:9">
      <c r="A16" s="2" t="s">
        <v>41</v>
      </c>
      <c r="B16" s="2" t="s">
        <v>42</v>
      </c>
      <c r="C16" s="2" t="s">
        <v>24</v>
      </c>
      <c r="D16" s="2" t="s">
        <v>43</v>
      </c>
      <c r="E16" s="3">
        <v>46316</v>
      </c>
      <c r="F16" s="3">
        <v>46357</v>
      </c>
      <c r="G16" s="2">
        <f ca="1">IF(F16="","",F16-TODAY())</f>
        <v>49</v>
      </c>
      <c r="H16" s="2" t="s">
        <v>31</v>
      </c>
      <c r="I16" s="2" t="s">
        <v>44</v>
      </c>
    </row>
    <row r="17" spans="1:9">
      <c r="A17" s="2" t="s">
        <v>45</v>
      </c>
      <c r="B17" s="2" t="s">
        <v>34</v>
      </c>
      <c r="C17" s="2" t="s">
        <v>29</v>
      </c>
      <c r="D17" s="2" t="s">
        <v>46</v>
      </c>
      <c r="E17" s="3">
        <v>46311</v>
      </c>
      <c r="F17" s="3">
        <v>46661</v>
      </c>
      <c r="G17" s="2">
        <f ca="1">IF(F17="","",F17-TODAY())</f>
        <v>353</v>
      </c>
      <c r="H17" s="2" t="s">
        <v>26</v>
      </c>
      <c r="I17" s="2" t="s">
        <v>47</v>
      </c>
    </row>
    <row r="18" spans="1:9">
      <c r="A18" s="2" t="s">
        <v>48</v>
      </c>
      <c r="B18" s="2" t="s">
        <v>49</v>
      </c>
      <c r="C18" s="2" t="s">
        <v>35</v>
      </c>
      <c r="D18" s="2" t="s">
        <v>50</v>
      </c>
      <c r="E18" s="3">
        <v>46323</v>
      </c>
      <c r="F18" s="3">
        <v>46326</v>
      </c>
      <c r="G18" s="2">
        <f ca="1">IF(F18="","",F18-TODAY())</f>
        <v>18</v>
      </c>
      <c r="H18" s="2" t="s">
        <v>21</v>
      </c>
      <c r="I18" s="2" t="s">
        <v>51</v>
      </c>
    </row>
    <row r="19" spans="1:9">
      <c r="A19" s="2" t="s">
        <v>52</v>
      </c>
      <c r="B19" s="2" t="s">
        <v>18</v>
      </c>
      <c r="C19" s="2" t="s">
        <v>24</v>
      </c>
      <c r="D19" s="2" t="s">
        <v>53</v>
      </c>
      <c r="E19" s="3">
        <v>46309</v>
      </c>
      <c r="F19" s="3">
        <v>46538</v>
      </c>
      <c r="G19" s="2">
        <f ca="1">IF(F19="","",F19-TODAY())</f>
        <v>230</v>
      </c>
      <c r="H19" s="2" t="s">
        <v>21</v>
      </c>
      <c r="I19" s="2" t="s">
        <v>54</v>
      </c>
    </row>
    <row r="20" spans="1:9">
      <c r="A20" s="2" t="s">
        <v>55</v>
      </c>
      <c r="B20" s="2" t="s">
        <v>18</v>
      </c>
      <c r="C20" s="2" t="s">
        <v>35</v>
      </c>
      <c r="D20" s="2" t="s">
        <v>56</v>
      </c>
      <c r="E20" s="3">
        <v>46310</v>
      </c>
      <c r="F20" s="3">
        <v>46336</v>
      </c>
      <c r="G20" s="2">
        <f ca="1">IF(F20="","",F20-TODAY())</f>
        <v>28</v>
      </c>
      <c r="H20" s="2" t="s">
        <v>26</v>
      </c>
      <c r="I20" s="2" t="s">
        <v>57</v>
      </c>
    </row>
    <row r="21" spans="1:9">
      <c r="A21" s="2" t="s">
        <v>58</v>
      </c>
      <c r="B21" s="2" t="s">
        <v>18</v>
      </c>
      <c r="C21" s="2" t="s">
        <v>19</v>
      </c>
      <c r="D21" s="2" t="s">
        <v>59</v>
      </c>
      <c r="E21" s="3">
        <v>46317</v>
      </c>
      <c r="F21" s="3">
        <v>46446</v>
      </c>
      <c r="G21" s="2">
        <f ca="1">IF(F21="","",F21-TODAY())</f>
        <v>138</v>
      </c>
      <c r="H21" s="2" t="s">
        <v>21</v>
      </c>
      <c r="I21" s="2" t="s">
        <v>60</v>
      </c>
    </row>
    <row r="22" spans="1:9">
      <c r="A22" s="2" t="s">
        <v>61</v>
      </c>
      <c r="B22" s="2" t="s">
        <v>34</v>
      </c>
      <c r="C22" s="2" t="s">
        <v>29</v>
      </c>
      <c r="D22" s="2" t="s">
        <v>62</v>
      </c>
      <c r="E22" s="3">
        <v>46314</v>
      </c>
      <c r="F22" s="3">
        <v>46675</v>
      </c>
      <c r="G22" s="2">
        <f ca="1">IF(F22="","",F22-TODAY())</f>
        <v>367</v>
      </c>
      <c r="H22" s="2" t="s">
        <v>21</v>
      </c>
      <c r="I22" s="2" t="s">
        <v>63</v>
      </c>
    </row>
    <row r="23" spans="1:9">
      <c r="A23" s="2" t="s">
        <v>64</v>
      </c>
      <c r="B23" s="2" t="s">
        <v>18</v>
      </c>
      <c r="C23" s="2" t="s">
        <v>24</v>
      </c>
      <c r="D23" s="2" t="s">
        <v>65</v>
      </c>
      <c r="E23" s="3">
        <v>46309</v>
      </c>
      <c r="F23" s="3">
        <v>46356</v>
      </c>
      <c r="G23" s="2">
        <f ca="1">IF(F23="","",F23-TODAY())</f>
        <v>48</v>
      </c>
      <c r="H23" s="2" t="s">
        <v>31</v>
      </c>
      <c r="I23" s="2" t="s">
        <v>66</v>
      </c>
    </row>
    <row r="24" spans="1:9">
      <c r="A24" s="2" t="s">
        <v>67</v>
      </c>
      <c r="B24" s="2" t="s">
        <v>18</v>
      </c>
      <c r="C24" s="2" t="s">
        <v>35</v>
      </c>
      <c r="D24" s="2" t="s">
        <v>68</v>
      </c>
      <c r="E24" s="3">
        <v>46318</v>
      </c>
      <c r="F24" s="3">
        <v>46507</v>
      </c>
      <c r="G24" s="2">
        <f ca="1">IF(F24="","",F24-TODAY())</f>
        <v>199</v>
      </c>
      <c r="H24" s="2" t="s">
        <v>21</v>
      </c>
      <c r="I24" s="2" t="s">
        <v>69</v>
      </c>
    </row>
    <row r="25" spans="1:9">
      <c r="A25" s="2" t="s">
        <v>70</v>
      </c>
      <c r="B25" s="2" t="s">
        <v>42</v>
      </c>
      <c r="C25" s="2" t="s">
        <v>19</v>
      </c>
      <c r="D25" s="2" t="s">
        <v>71</v>
      </c>
      <c r="E25" s="3">
        <v>46311</v>
      </c>
      <c r="F25" s="3">
        <v>46418</v>
      </c>
      <c r="G25" s="2">
        <f ca="1">IF(F25="","",F25-TODAY())</f>
        <v>110</v>
      </c>
      <c r="H25" s="2" t="s">
        <v>26</v>
      </c>
      <c r="I25" s="2" t="s">
        <v>72</v>
      </c>
    </row>
    <row r="26" spans="1:9">
      <c r="A26" s="2" t="s">
        <v>73</v>
      </c>
      <c r="B26" s="2" t="s">
        <v>18</v>
      </c>
      <c r="C26" s="2" t="s">
        <v>29</v>
      </c>
      <c r="D26" s="2" t="s">
        <v>74</v>
      </c>
      <c r="E26" s="3">
        <v>46310</v>
      </c>
      <c r="F26" s="3">
        <v>46334</v>
      </c>
      <c r="G26" s="2">
        <f ca="1">IF(F26="","",F26-TODAY())</f>
        <v>26</v>
      </c>
      <c r="H26" s="2" t="s">
        <v>26</v>
      </c>
      <c r="I26" s="2" t="s">
        <v>75</v>
      </c>
    </row>
    <row r="27" spans="1:9">
      <c r="A27" s="2" t="s">
        <v>76</v>
      </c>
      <c r="B27" s="2" t="s">
        <v>34</v>
      </c>
      <c r="C27" s="2" t="s">
        <v>24</v>
      </c>
      <c r="D27" s="2" t="s">
        <v>77</v>
      </c>
      <c r="E27" s="3">
        <v>46310</v>
      </c>
      <c r="F27" s="3">
        <v>46680</v>
      </c>
      <c r="G27" s="2">
        <f ca="1">IF(F27="","",F27-TODAY())</f>
        <v>372</v>
      </c>
      <c r="H27" s="2" t="s">
        <v>21</v>
      </c>
      <c r="I27" s="2" t="s">
        <v>78</v>
      </c>
    </row>
    <row r="28" spans="1:9">
      <c r="A28" s="2" t="s">
        <v>79</v>
      </c>
      <c r="B28" s="2" t="s">
        <v>80</v>
      </c>
      <c r="C28" s="2" t="s">
        <v>35</v>
      </c>
      <c r="D28" s="2" t="s">
        <v>81</v>
      </c>
      <c r="E28" s="3">
        <v>46315</v>
      </c>
      <c r="F28" s="3">
        <v>46295</v>
      </c>
      <c r="G28" s="2">
        <f ca="1">IF(F28="","",F28-TODAY())</f>
        <v>-13</v>
      </c>
      <c r="H28" s="2" t="s">
        <v>21</v>
      </c>
      <c r="I28" s="2" t="s">
        <v>82</v>
      </c>
    </row>
    <row r="29" spans="1:9">
      <c r="A29" s="2"/>
      <c r="B29" s="2"/>
      <c r="C29" s="2"/>
      <c r="D29" s="2"/>
      <c r="E29" s="3"/>
      <c r="F29" s="3"/>
      <c r="G29" s="2" t="str">
        <f ca="1">IF(F29="","",F29-TODAY())</f>
        <v/>
      </c>
      <c r="H29" s="2"/>
      <c r="I29" s="2"/>
    </row>
    <row r="30" spans="1:9">
      <c r="A30" s="2"/>
      <c r="B30" s="2"/>
      <c r="C30" s="2"/>
      <c r="D30" s="2"/>
      <c r="E30" s="3"/>
      <c r="F30" s="3"/>
      <c r="G30" s="2" t="str">
        <f ca="1">IF(F30="","",F30-TODAY())</f>
        <v/>
      </c>
      <c r="H30" s="2"/>
      <c r="I30" s="2"/>
    </row>
    <row r="31" spans="1:9">
      <c r="A31" s="2"/>
      <c r="B31" s="2"/>
      <c r="C31" s="2"/>
      <c r="D31" s="2"/>
      <c r="E31" s="3"/>
      <c r="F31" s="3"/>
      <c r="G31" s="2" t="str">
        <f ca="1">IF(F31="","",F31-TODAY())</f>
        <v/>
      </c>
      <c r="H31" s="2"/>
      <c r="I31" s="2"/>
    </row>
    <row r="32" spans="1:9">
      <c r="A32" s="2"/>
      <c r="B32" s="2"/>
      <c r="C32" s="2"/>
      <c r="D32" s="2"/>
      <c r="E32" s="3"/>
      <c r="F32" s="3"/>
      <c r="G32" s="2" t="str">
        <f ca="1">IF(F32="","",F32-TODAY())</f>
        <v/>
      </c>
      <c r="H32" s="2"/>
      <c r="I32" s="2"/>
    </row>
    <row r="33" spans="1:9">
      <c r="A33" s="2"/>
      <c r="B33" s="2"/>
      <c r="C33" s="2"/>
      <c r="D33" s="2"/>
      <c r="E33" s="3"/>
      <c r="F33" s="3"/>
      <c r="G33" s="2" t="str">
        <f ca="1">IF(F33="","",F33-TODAY())</f>
        <v/>
      </c>
      <c r="H33" s="2"/>
      <c r="I33" s="2"/>
    </row>
    <row r="34" spans="1:9">
      <c r="A34" s="2"/>
      <c r="B34" s="2"/>
      <c r="C34" s="2"/>
      <c r="D34" s="2"/>
      <c r="E34" s="3"/>
      <c r="F34" s="3"/>
      <c r="G34" s="2" t="str">
        <f ca="1">IF(F34="","",F34-TODAY())</f>
        <v/>
      </c>
      <c r="H34" s="2"/>
      <c r="I34" s="2"/>
    </row>
    <row r="35" spans="1:9">
      <c r="A35" s="2"/>
      <c r="B35" s="2"/>
      <c r="C35" s="2"/>
      <c r="D35" s="2"/>
      <c r="E35" s="3"/>
      <c r="F35" s="3"/>
      <c r="G35" s="2" t="str">
        <f ca="1">IF(F35="","",F35-TODAY())</f>
        <v/>
      </c>
      <c r="H35" s="2"/>
      <c r="I35" s="2"/>
    </row>
    <row r="36" spans="1:9">
      <c r="A36" s="2"/>
      <c r="B36" s="2"/>
      <c r="C36" s="2"/>
      <c r="D36" s="2"/>
      <c r="E36" s="3"/>
      <c r="F36" s="3"/>
      <c r="G36" s="2" t="str">
        <f ca="1">IF(F36="","",F36-TODAY())</f>
        <v/>
      </c>
      <c r="H36" s="2"/>
      <c r="I36" s="2"/>
    </row>
    <row r="37" spans="1:9">
      <c r="A37" s="2"/>
      <c r="B37" s="2"/>
      <c r="C37" s="2"/>
      <c r="D37" s="2"/>
      <c r="E37" s="3"/>
      <c r="F37" s="3"/>
      <c r="G37" s="2" t="str">
        <f ca="1">IF(F37="","",F37-TODAY())</f>
        <v/>
      </c>
      <c r="H37" s="2"/>
      <c r="I37" s="2"/>
    </row>
    <row r="38" spans="1:9">
      <c r="A38" s="2"/>
      <c r="B38" s="2"/>
      <c r="C38" s="2"/>
      <c r="D38" s="2"/>
      <c r="E38" s="3"/>
      <c r="F38" s="3"/>
      <c r="G38" s="2" t="str">
        <f ca="1">IF(F38="","",F38-TODAY())</f>
        <v/>
      </c>
      <c r="H38" s="2"/>
      <c r="I38" s="2"/>
    </row>
    <row r="39" spans="1:9">
      <c r="A39" s="2"/>
      <c r="B39" s="2"/>
      <c r="C39" s="2"/>
      <c r="D39" s="2"/>
      <c r="E39" s="3"/>
      <c r="F39" s="3"/>
      <c r="G39" s="2" t="str">
        <f ca="1">IF(F39="","",F39-TODAY())</f>
        <v/>
      </c>
      <c r="H39" s="2"/>
      <c r="I39" s="2"/>
    </row>
    <row r="40" spans="1:9">
      <c r="A40" s="2"/>
      <c r="B40" s="2"/>
      <c r="C40" s="2"/>
      <c r="D40" s="2"/>
      <c r="E40" s="3"/>
      <c r="F40" s="3"/>
      <c r="G40" s="2" t="str">
        <f ca="1">IF(F40="","",F40-TODAY())</f>
        <v/>
      </c>
      <c r="H40" s="2"/>
      <c r="I40" s="2"/>
    </row>
    <row r="41" spans="1:9">
      <c r="A41" s="2"/>
      <c r="B41" s="2"/>
      <c r="C41" s="2"/>
      <c r="D41" s="2"/>
      <c r="E41" s="3"/>
      <c r="F41" s="3"/>
      <c r="G41" s="2" t="str">
        <f ca="1">IF(F41="","",F41-TODAY())</f>
        <v/>
      </c>
      <c r="H41" s="2"/>
      <c r="I41" s="2"/>
    </row>
    <row r="42" spans="1:9">
      <c r="A42" s="2"/>
      <c r="B42" s="2"/>
      <c r="C42" s="2"/>
      <c r="D42" s="2"/>
      <c r="E42" s="3"/>
      <c r="F42" s="3"/>
      <c r="G42" s="2" t="str">
        <f ca="1">IF(F42="","",F42-TODAY())</f>
        <v/>
      </c>
      <c r="H42" s="2"/>
      <c r="I42" s="2"/>
    </row>
    <row r="43" spans="1:9">
      <c r="A43" s="2"/>
      <c r="B43" s="2"/>
      <c r="C43" s="2"/>
      <c r="D43" s="2"/>
      <c r="E43" s="3"/>
      <c r="F43" s="3"/>
      <c r="G43" s="2" t="str">
        <f ca="1">IF(F43="","",F43-TODAY())</f>
        <v/>
      </c>
      <c r="H43" s="2"/>
      <c r="I43" s="2"/>
    </row>
    <row r="44" spans="1:9">
      <c r="A44" s="2"/>
      <c r="B44" s="2"/>
      <c r="C44" s="2"/>
      <c r="D44" s="2"/>
      <c r="E44" s="3"/>
      <c r="F44" s="3"/>
      <c r="G44" s="2" t="str">
        <f ca="1">IF(F44="","",F44-TODAY())</f>
        <v/>
      </c>
      <c r="H44" s="2"/>
      <c r="I44" s="2"/>
    </row>
    <row r="45" spans="1:9">
      <c r="A45" s="2"/>
      <c r="B45" s="2"/>
      <c r="C45" s="2"/>
      <c r="D45" s="2"/>
      <c r="E45" s="3"/>
      <c r="F45" s="3"/>
      <c r="G45" s="2" t="str">
        <f ca="1">IF(F45="","",F45-TODAY())</f>
        <v/>
      </c>
      <c r="H45" s="2"/>
      <c r="I45" s="2"/>
    </row>
    <row r="46" spans="1:9">
      <c r="A46" s="2"/>
      <c r="B46" s="2"/>
      <c r="C46" s="2"/>
      <c r="D46" s="2"/>
      <c r="E46" s="3"/>
      <c r="F46" s="3"/>
      <c r="G46" s="2" t="str">
        <f ca="1">IF(F46="","",F46-TODAY())</f>
        <v/>
      </c>
      <c r="H46" s="2"/>
      <c r="I46" s="2"/>
    </row>
    <row r="47" spans="1:9">
      <c r="A47" s="2"/>
      <c r="B47" s="2"/>
      <c r="C47" s="2"/>
      <c r="D47" s="2"/>
      <c r="E47" s="3"/>
      <c r="F47" s="3"/>
      <c r="G47" s="2" t="str">
        <f ca="1">IF(F47="","",F47-TODAY())</f>
        <v/>
      </c>
      <c r="H47" s="2"/>
      <c r="I47" s="2"/>
    </row>
    <row r="48" spans="1:9">
      <c r="A48" s="2"/>
      <c r="B48" s="2"/>
      <c r="C48" s="2"/>
      <c r="D48" s="2"/>
      <c r="E48" s="3"/>
      <c r="F48" s="3"/>
      <c r="G48" s="2" t="str">
        <f ca="1">IF(F48="","",F48-TODAY())</f>
        <v/>
      </c>
      <c r="H48" s="2"/>
      <c r="I48" s="2"/>
    </row>
    <row r="49" spans="1:9">
      <c r="A49" s="2"/>
      <c r="B49" s="2"/>
      <c r="C49" s="2"/>
      <c r="D49" s="2"/>
      <c r="E49" s="3"/>
      <c r="F49" s="3"/>
      <c r="G49" s="2" t="str">
        <f ca="1">IF(F49="","",F49-TODAY())</f>
        <v/>
      </c>
      <c r="H49" s="2"/>
      <c r="I49" s="2"/>
    </row>
    <row r="50" spans="1:9">
      <c r="A50" s="2"/>
      <c r="B50" s="2"/>
      <c r="C50" s="2"/>
      <c r="D50" s="2"/>
      <c r="E50" s="3"/>
      <c r="F50" s="3"/>
      <c r="G50" s="2" t="str">
        <f ca="1">IF(F50="","",F50-TODAY())</f>
        <v/>
      </c>
      <c r="H50" s="2"/>
      <c r="I50" s="2"/>
    </row>
    <row r="51" spans="1:9">
      <c r="A51" s="2"/>
      <c r="B51" s="2"/>
      <c r="C51" s="2"/>
      <c r="D51" s="2"/>
      <c r="E51" s="3"/>
      <c r="F51" s="3"/>
      <c r="G51" s="2" t="str">
        <f ca="1">IF(F51="","",F51-TODAY())</f>
        <v/>
      </c>
      <c r="H51" s="2"/>
      <c r="I51" s="2"/>
    </row>
    <row r="52" spans="1:9">
      <c r="A52" s="2"/>
      <c r="B52" s="2"/>
      <c r="C52" s="2"/>
      <c r="D52" s="2"/>
      <c r="E52" s="3"/>
      <c r="F52" s="3"/>
      <c r="G52" s="2" t="str">
        <f ca="1">IF(F52="","",F52-TODAY())</f>
        <v/>
      </c>
      <c r="H52" s="2"/>
      <c r="I52" s="2"/>
    </row>
    <row r="53" spans="1:9">
      <c r="A53" s="2"/>
      <c r="B53" s="2"/>
      <c r="C53" s="2"/>
      <c r="D53" s="2"/>
      <c r="E53" s="3"/>
      <c r="F53" s="3"/>
      <c r="G53" s="2" t="str">
        <f ca="1">IF(F53="","",F53-TODAY())</f>
        <v/>
      </c>
      <c r="H53" s="2"/>
      <c r="I53" s="2"/>
    </row>
    <row r="54" spans="1:9">
      <c r="A54" s="2"/>
      <c r="B54" s="2"/>
      <c r="C54" s="2"/>
      <c r="D54" s="2"/>
      <c r="E54" s="3"/>
      <c r="F54" s="3"/>
      <c r="G54" s="2" t="str">
        <f ca="1">IF(F54="","",F54-TODAY())</f>
        <v/>
      </c>
      <c r="H54" s="2"/>
      <c r="I54" s="2"/>
    </row>
    <row r="55" spans="1:9">
      <c r="A55" s="2"/>
      <c r="B55" s="2"/>
      <c r="C55" s="2"/>
      <c r="D55" s="2"/>
      <c r="E55" s="3"/>
      <c r="F55" s="3"/>
      <c r="G55" s="2" t="str">
        <f ca="1">IF(F55="","",F55-TODAY())</f>
        <v/>
      </c>
      <c r="H55" s="2"/>
      <c r="I55" s="2"/>
    </row>
    <row r="56" spans="1:9">
      <c r="A56" s="2"/>
      <c r="B56" s="2"/>
      <c r="C56" s="2"/>
      <c r="D56" s="2"/>
      <c r="E56" s="3"/>
      <c r="F56" s="3"/>
      <c r="G56" s="2" t="str">
        <f ca="1">IF(F56="","",F56-TODAY())</f>
        <v/>
      </c>
      <c r="H56" s="2"/>
      <c r="I56" s="2"/>
    </row>
    <row r="57" spans="1:9">
      <c r="A57" s="2"/>
      <c r="B57" s="2"/>
      <c r="C57" s="2"/>
      <c r="D57" s="2"/>
      <c r="E57" s="3"/>
      <c r="F57" s="3"/>
      <c r="G57" s="2" t="str">
        <f ca="1">IF(F57="","",F57-TODAY())</f>
        <v/>
      </c>
      <c r="H57" s="2"/>
      <c r="I57" s="2"/>
    </row>
    <row r="58" spans="1:9">
      <c r="A58" s="2"/>
      <c r="B58" s="2"/>
      <c r="C58" s="2"/>
      <c r="D58" s="2"/>
      <c r="E58" s="3"/>
      <c r="F58" s="3"/>
      <c r="G58" s="2" t="str">
        <f ca="1">IF(F58="","",F58-TODAY())</f>
        <v/>
      </c>
      <c r="H58" s="2"/>
      <c r="I58" s="2"/>
    </row>
    <row r="59" spans="1:9">
      <c r="A59" s="2"/>
      <c r="B59" s="2"/>
      <c r="C59" s="2"/>
      <c r="D59" s="2"/>
      <c r="E59" s="3"/>
      <c r="F59" s="3"/>
      <c r="G59" s="2" t="str">
        <f ca="1">IF(F59="","",F59-TODAY())</f>
        <v/>
      </c>
      <c r="H59" s="2"/>
      <c r="I59" s="2"/>
    </row>
    <row r="60" spans="1:9">
      <c r="A60" s="2"/>
      <c r="B60" s="2"/>
      <c r="C60" s="2"/>
      <c r="D60" s="2"/>
      <c r="E60" s="3"/>
      <c r="F60" s="3"/>
      <c r="G60" s="2" t="str">
        <f ca="1">IF(F60="","",F60-TODAY())</f>
        <v/>
      </c>
      <c r="H60" s="2"/>
      <c r="I60" s="2"/>
    </row>
    <row r="61" spans="1:9">
      <c r="A61" s="2"/>
      <c r="B61" s="2"/>
      <c r="C61" s="2"/>
      <c r="D61" s="2"/>
      <c r="E61" s="3"/>
      <c r="F61" s="3"/>
      <c r="G61" s="2" t="str">
        <f ca="1">IF(F61="","",F61-TODAY())</f>
        <v/>
      </c>
      <c r="H61" s="2"/>
      <c r="I61" s="2"/>
    </row>
    <row r="62" spans="1:9">
      <c r="A62" s="2"/>
      <c r="B62" s="2"/>
      <c r="C62" s="2"/>
      <c r="D62" s="2"/>
      <c r="E62" s="3"/>
      <c r="F62" s="3"/>
      <c r="G62" s="2" t="str">
        <f ca="1">IF(F62="","",F62-TODAY())</f>
        <v/>
      </c>
      <c r="H62" s="2"/>
      <c r="I62" s="2"/>
    </row>
    <row r="63" spans="1:9">
      <c r="A63" s="2"/>
      <c r="B63" s="2"/>
      <c r="C63" s="2"/>
      <c r="D63" s="2"/>
      <c r="E63" s="3"/>
      <c r="F63" s="3"/>
      <c r="G63" s="2" t="str">
        <f ca="1">IF(F63="","",F63-TODAY())</f>
        <v/>
      </c>
      <c r="H63" s="2"/>
      <c r="I63" s="2"/>
    </row>
    <row r="64" spans="1:9">
      <c r="A64" s="2"/>
      <c r="B64" s="2"/>
      <c r="C64" s="2"/>
      <c r="D64" s="2"/>
      <c r="E64" s="3"/>
      <c r="F64" s="3"/>
      <c r="G64" s="2" t="str">
        <f ca="1">IF(F64="","",F64-TODAY())</f>
        <v/>
      </c>
      <c r="H64" s="2"/>
      <c r="I64" s="2"/>
    </row>
    <row r="65" spans="1:9">
      <c r="A65" s="2"/>
      <c r="B65" s="2"/>
      <c r="C65" s="2"/>
      <c r="D65" s="2"/>
      <c r="E65" s="3"/>
      <c r="F65" s="3"/>
      <c r="G65" s="2" t="str">
        <f ca="1">IF(F65="","",F65-TODAY())</f>
        <v/>
      </c>
      <c r="H65" s="2"/>
      <c r="I65" s="2"/>
    </row>
    <row r="66" spans="1:9">
      <c r="A66" s="2"/>
      <c r="B66" s="2"/>
      <c r="C66" s="2"/>
      <c r="D66" s="2"/>
      <c r="E66" s="3"/>
      <c r="F66" s="3"/>
      <c r="G66" s="2" t="str">
        <f ca="1">IF(F66="","",F66-TODAY())</f>
        <v/>
      </c>
      <c r="H66" s="2"/>
      <c r="I66" s="2"/>
    </row>
    <row r="67" spans="1:9">
      <c r="A67" s="2"/>
      <c r="B67" s="2"/>
      <c r="C67" s="2"/>
      <c r="D67" s="2"/>
      <c r="E67" s="3"/>
      <c r="F67" s="3"/>
      <c r="G67" s="2" t="str">
        <f ca="1">IF(F67="","",F67-TODAY())</f>
        <v/>
      </c>
      <c r="H67" s="2"/>
      <c r="I67" s="2"/>
    </row>
    <row r="68" spans="1:9">
      <c r="A68" s="2"/>
      <c r="B68" s="2"/>
      <c r="C68" s="2"/>
      <c r="D68" s="2"/>
      <c r="E68" s="3"/>
      <c r="F68" s="3"/>
      <c r="G68" s="2" t="str">
        <f ca="1">IF(F68="","",F68-TODAY())</f>
        <v/>
      </c>
      <c r="H68" s="2"/>
      <c r="I68" s="2"/>
    </row>
    <row r="69" spans="1:9">
      <c r="A69" s="2"/>
      <c r="B69" s="2"/>
      <c r="C69" s="2"/>
      <c r="D69" s="2"/>
      <c r="E69" s="3"/>
      <c r="F69" s="3"/>
      <c r="G69" s="2" t="str">
        <f ca="1">IF(F69="","",F69-TODAY())</f>
        <v/>
      </c>
      <c r="H69" s="2"/>
      <c r="I69" s="2"/>
    </row>
    <row r="70" spans="1:9">
      <c r="A70" s="2"/>
      <c r="B70" s="2"/>
      <c r="C70" s="2"/>
      <c r="D70" s="2"/>
      <c r="E70" s="3"/>
      <c r="F70" s="3"/>
      <c r="G70" s="2" t="str">
        <f ca="1">IF(F70="","",F70-TODAY())</f>
        <v/>
      </c>
      <c r="H70" s="2"/>
      <c r="I70" s="2"/>
    </row>
    <row r="71" spans="1:9">
      <c r="A71" s="2"/>
      <c r="B71" s="2"/>
      <c r="C71" s="2"/>
      <c r="D71" s="2"/>
      <c r="E71" s="3"/>
      <c r="F71" s="3"/>
      <c r="G71" s="2" t="str">
        <f ca="1">IF(F71="","",F71-TODAY())</f>
        <v/>
      </c>
      <c r="H71" s="2"/>
      <c r="I71" s="2"/>
    </row>
    <row r="72" spans="1:9">
      <c r="A72" s="2"/>
      <c r="B72" s="2"/>
      <c r="C72" s="2"/>
      <c r="D72" s="2"/>
      <c r="E72" s="3"/>
      <c r="F72" s="3"/>
      <c r="G72" s="2" t="str">
        <f ca="1">IF(F72="","",F72-TODAY())</f>
        <v/>
      </c>
      <c r="H72" s="2"/>
      <c r="I72" s="2"/>
    </row>
    <row r="73" spans="1:9">
      <c r="A73" s="2"/>
      <c r="B73" s="2"/>
      <c r="C73" s="2"/>
      <c r="D73" s="2"/>
      <c r="E73" s="3"/>
      <c r="F73" s="3"/>
      <c r="G73" s="2" t="str">
        <f ca="1">IF(F73="","",F73-TODAY())</f>
        <v/>
      </c>
      <c r="H73" s="2"/>
      <c r="I73" s="2"/>
    </row>
    <row r="74" spans="1:9">
      <c r="A74" s="2"/>
      <c r="B74" s="2"/>
      <c r="C74" s="2"/>
      <c r="D74" s="2"/>
      <c r="E74" s="3"/>
      <c r="F74" s="3"/>
      <c r="G74" s="2" t="str">
        <f ca="1">IF(F74="","",F74-TODAY())</f>
        <v/>
      </c>
      <c r="H74" s="2"/>
      <c r="I74" s="2"/>
    </row>
    <row r="75" spans="1:9">
      <c r="A75" s="2"/>
      <c r="B75" s="2"/>
      <c r="C75" s="2"/>
      <c r="D75" s="2"/>
      <c r="E75" s="3"/>
      <c r="F75" s="3"/>
      <c r="G75" s="2" t="str">
        <f ca="1">IF(F75="","",F75-TODAY())</f>
        <v/>
      </c>
      <c r="H75" s="2"/>
      <c r="I75" s="2"/>
    </row>
    <row r="76" spans="1:9">
      <c r="A76" s="2"/>
      <c r="B76" s="2"/>
      <c r="C76" s="2"/>
      <c r="D76" s="2"/>
      <c r="E76" s="3"/>
      <c r="F76" s="3"/>
      <c r="G76" s="2" t="str">
        <f ca="1">IF(F76="","",F76-TODAY())</f>
        <v/>
      </c>
      <c r="H76" s="2"/>
      <c r="I76" s="2"/>
    </row>
    <row r="77" spans="1:9">
      <c r="A77" s="2"/>
      <c r="B77" s="2"/>
      <c r="C77" s="2"/>
      <c r="D77" s="2"/>
      <c r="E77" s="3"/>
      <c r="F77" s="3"/>
      <c r="G77" s="2" t="str">
        <f ca="1">IF(F77="","",F77-TODAY())</f>
        <v/>
      </c>
      <c r="H77" s="2"/>
      <c r="I77" s="2"/>
    </row>
    <row r="78" spans="1:9">
      <c r="A78" s="2"/>
      <c r="B78" s="2"/>
      <c r="C78" s="2"/>
      <c r="D78" s="2"/>
      <c r="E78" s="3"/>
      <c r="F78" s="3"/>
      <c r="G78" s="2" t="str">
        <f ca="1">IF(F78="","",F78-TODAY())</f>
        <v/>
      </c>
      <c r="H78" s="2"/>
      <c r="I78" s="2"/>
    </row>
    <row r="79" spans="1:9">
      <c r="A79" s="2"/>
      <c r="B79" s="2"/>
      <c r="C79" s="2"/>
      <c r="D79" s="2"/>
      <c r="E79" s="3"/>
      <c r="F79" s="3"/>
      <c r="G79" s="2" t="str">
        <f ca="1">IF(F79="","",F79-TODAY())</f>
        <v/>
      </c>
      <c r="H79" s="2"/>
      <c r="I79" s="2"/>
    </row>
    <row r="80" spans="1:9">
      <c r="A80" s="2"/>
      <c r="B80" s="2"/>
      <c r="C80" s="2"/>
      <c r="D80" s="2"/>
      <c r="E80" s="3"/>
      <c r="F80" s="3"/>
      <c r="G80" s="2" t="str">
        <f ca="1">IF(F80="","",F80-TODAY())</f>
        <v/>
      </c>
      <c r="H80" s="2"/>
      <c r="I80" s="2"/>
    </row>
    <row r="81" spans="1:9">
      <c r="A81" s="2"/>
      <c r="B81" s="2"/>
      <c r="C81" s="2"/>
      <c r="D81" s="2"/>
      <c r="E81" s="3"/>
      <c r="F81" s="3"/>
      <c r="G81" s="2" t="str">
        <f ca="1">IF(F81="","",F81-TODAY())</f>
        <v/>
      </c>
      <c r="H81" s="2"/>
      <c r="I81" s="2"/>
    </row>
    <row r="82" spans="1:9">
      <c r="A82" s="2"/>
      <c r="B82" s="2"/>
      <c r="C82" s="2"/>
      <c r="D82" s="2"/>
      <c r="E82" s="3"/>
      <c r="F82" s="3"/>
      <c r="G82" s="2" t="str">
        <f ca="1">IF(F82="","",F82-TODAY())</f>
        <v/>
      </c>
      <c r="H82" s="2"/>
      <c r="I82" s="2"/>
    </row>
    <row r="83" spans="1:9">
      <c r="A83" s="2"/>
      <c r="B83" s="2"/>
      <c r="C83" s="2"/>
      <c r="D83" s="2"/>
      <c r="E83" s="3"/>
      <c r="F83" s="3"/>
      <c r="G83" s="2" t="str">
        <f ca="1">IF(F83="","",F83-TODAY())</f>
        <v/>
      </c>
      <c r="H83" s="2"/>
      <c r="I83" s="2"/>
    </row>
    <row r="84" spans="1:9">
      <c r="A84" s="2"/>
      <c r="B84" s="2"/>
      <c r="C84" s="2"/>
      <c r="D84" s="2"/>
      <c r="E84" s="3"/>
      <c r="F84" s="3"/>
      <c r="G84" s="2" t="str">
        <f ca="1">IF(F84="","",F84-TODAY())</f>
        <v/>
      </c>
      <c r="H84" s="2"/>
      <c r="I84" s="2"/>
    </row>
    <row r="85" spans="1:9">
      <c r="A85" s="2"/>
      <c r="B85" s="2"/>
      <c r="C85" s="2"/>
      <c r="D85" s="2"/>
      <c r="E85" s="3"/>
      <c r="F85" s="3"/>
      <c r="G85" s="2" t="str">
        <f ca="1">IF(F85="","",F85-TODAY())</f>
        <v/>
      </c>
      <c r="H85" s="2"/>
      <c r="I85" s="2"/>
    </row>
    <row r="86" spans="1:9">
      <c r="A86" s="2"/>
      <c r="B86" s="2"/>
      <c r="C86" s="2"/>
      <c r="D86" s="2"/>
      <c r="E86" s="3"/>
      <c r="F86" s="3"/>
      <c r="G86" s="2" t="str">
        <f ca="1">IF(F86="","",F86-TODAY())</f>
        <v/>
      </c>
      <c r="H86" s="2"/>
      <c r="I86" s="2"/>
    </row>
    <row r="87" spans="1:9">
      <c r="A87" s="2"/>
      <c r="B87" s="2"/>
      <c r="C87" s="2"/>
      <c r="D87" s="2"/>
      <c r="E87" s="3"/>
      <c r="F87" s="3"/>
      <c r="G87" s="2" t="str">
        <f ca="1">IF(F87="","",F87-TODAY())</f>
        <v/>
      </c>
      <c r="H87" s="2"/>
      <c r="I87" s="2"/>
    </row>
    <row r="88" spans="1:9">
      <c r="A88" s="2"/>
      <c r="B88" s="2"/>
      <c r="C88" s="2"/>
      <c r="D88" s="2"/>
      <c r="E88" s="3"/>
      <c r="F88" s="3"/>
      <c r="G88" s="2" t="str">
        <f ca="1">IF(F88="","",F88-TODAY())</f>
        <v/>
      </c>
      <c r="H88" s="2"/>
      <c r="I88" s="2"/>
    </row>
    <row r="89" spans="1:9">
      <c r="A89" s="2"/>
      <c r="B89" s="2"/>
      <c r="C89" s="2"/>
      <c r="D89" s="2"/>
      <c r="E89" s="3"/>
      <c r="F89" s="3"/>
      <c r="G89" s="2" t="str">
        <f ca="1">IF(F89="","",F89-TODAY())</f>
        <v/>
      </c>
      <c r="H89" s="2"/>
      <c r="I89" s="2"/>
    </row>
    <row r="90" spans="1:9">
      <c r="A90" s="2"/>
      <c r="B90" s="2"/>
      <c r="C90" s="2"/>
      <c r="D90" s="2"/>
      <c r="E90" s="3"/>
      <c r="F90" s="3"/>
      <c r="G90" s="2" t="str">
        <f ca="1">IF(F90="","",F90-TODAY())</f>
        <v/>
      </c>
      <c r="H90" s="2"/>
      <c r="I90" s="2"/>
    </row>
    <row r="91" spans="1:9">
      <c r="A91" s="2"/>
      <c r="B91" s="2"/>
      <c r="C91" s="2"/>
      <c r="D91" s="2"/>
      <c r="E91" s="3"/>
      <c r="F91" s="3"/>
      <c r="G91" s="2" t="str">
        <f ca="1">IF(F91="","",F91-TODAY())</f>
        <v/>
      </c>
      <c r="H91" s="2"/>
      <c r="I91" s="2"/>
    </row>
    <row r="92" spans="1:9">
      <c r="A92" s="2"/>
      <c r="B92" s="2"/>
      <c r="C92" s="2"/>
      <c r="D92" s="2"/>
      <c r="E92" s="3"/>
      <c r="F92" s="3"/>
      <c r="G92" s="2" t="str">
        <f ca="1">IF(F92="","",F92-TODAY())</f>
        <v/>
      </c>
      <c r="H92" s="2"/>
      <c r="I92" s="2"/>
    </row>
    <row r="93" spans="1:9">
      <c r="A93" s="2"/>
      <c r="B93" s="2"/>
      <c r="C93" s="2"/>
      <c r="D93" s="2"/>
      <c r="E93" s="3"/>
      <c r="F93" s="3"/>
      <c r="G93" s="2" t="str">
        <f ca="1">IF(F93="","",F93-TODAY())</f>
        <v/>
      </c>
      <c r="H93" s="2"/>
      <c r="I93" s="2"/>
    </row>
    <row r="94" spans="1:9">
      <c r="A94" s="2"/>
      <c r="B94" s="2"/>
      <c r="C94" s="2"/>
      <c r="D94" s="2"/>
      <c r="E94" s="3"/>
      <c r="F94" s="3"/>
      <c r="G94" s="2" t="str">
        <f ca="1">IF(F94="","",F94-TODAY())</f>
        <v/>
      </c>
      <c r="H94" s="2"/>
      <c r="I94" s="2"/>
    </row>
    <row r="95" spans="1:9">
      <c r="A95" s="2"/>
      <c r="B95" s="2"/>
      <c r="C95" s="2"/>
      <c r="D95" s="2"/>
      <c r="E95" s="3"/>
      <c r="F95" s="3"/>
      <c r="G95" s="2" t="str">
        <f ca="1">IF(F95="","",F95-TODAY())</f>
        <v/>
      </c>
      <c r="H95" s="2"/>
      <c r="I95" s="2"/>
    </row>
    <row r="96" spans="1:9">
      <c r="A96" s="2"/>
      <c r="B96" s="2"/>
      <c r="C96" s="2"/>
      <c r="D96" s="2"/>
      <c r="E96" s="3"/>
      <c r="F96" s="3"/>
      <c r="G96" s="2" t="str">
        <f ca="1">IF(F96="","",F96-TODAY())</f>
        <v/>
      </c>
      <c r="H96" s="2"/>
      <c r="I96" s="2"/>
    </row>
    <row r="97" spans="1:9">
      <c r="A97" s="2"/>
      <c r="B97" s="2"/>
      <c r="C97" s="2"/>
      <c r="D97" s="2"/>
      <c r="E97" s="3"/>
      <c r="F97" s="3"/>
      <c r="G97" s="2" t="str">
        <f ca="1">IF(F97="","",F97-TODAY())</f>
        <v/>
      </c>
      <c r="H97" s="2"/>
      <c r="I97" s="2"/>
    </row>
    <row r="98" spans="1:9">
      <c r="A98" s="2"/>
      <c r="B98" s="2"/>
      <c r="C98" s="2"/>
      <c r="D98" s="2"/>
      <c r="E98" s="3"/>
      <c r="F98" s="3"/>
      <c r="G98" s="2" t="str">
        <f ca="1">IF(F98="","",F98-TODAY())</f>
        <v/>
      </c>
      <c r="H98" s="2"/>
      <c r="I98" s="2"/>
    </row>
    <row r="99" spans="1:9">
      <c r="A99" s="2"/>
      <c r="B99" s="2"/>
      <c r="C99" s="2"/>
      <c r="D99" s="2"/>
      <c r="E99" s="3"/>
      <c r="F99" s="3"/>
      <c r="G99" s="2" t="str">
        <f ca="1">IF(F99="","",F99-TODAY())</f>
        <v/>
      </c>
      <c r="H99" s="2"/>
      <c r="I99" s="2"/>
    </row>
    <row r="100" spans="1:9">
      <c r="A100" s="2"/>
      <c r="B100" s="2"/>
      <c r="C100" s="2"/>
      <c r="D100" s="2"/>
      <c r="E100" s="3"/>
      <c r="F100" s="3"/>
      <c r="G100" s="2" t="str">
        <f ca="1">IF(F100="","",F100-TODAY())</f>
        <v/>
      </c>
      <c r="H100" s="2"/>
      <c r="I100" s="2"/>
    </row>
    <row r="101" spans="1:9">
      <c r="A101" s="2"/>
      <c r="B101" s="2"/>
      <c r="C101" s="2"/>
      <c r="D101" s="2"/>
      <c r="E101" s="3"/>
      <c r="F101" s="3"/>
      <c r="G101" s="2" t="str">
        <f ca="1">IF(F101="","",F101-TODAY())</f>
        <v/>
      </c>
      <c r="H101" s="2"/>
      <c r="I101" s="2"/>
    </row>
    <row r="102" spans="1:9">
      <c r="A102" s="2"/>
      <c r="B102" s="2"/>
      <c r="C102" s="2"/>
      <c r="D102" s="2"/>
      <c r="E102" s="3"/>
      <c r="F102" s="3"/>
      <c r="G102" s="2" t="str">
        <f ca="1">IF(F102="","",F102-TODAY())</f>
        <v/>
      </c>
      <c r="H102" s="2"/>
      <c r="I102" s="2"/>
    </row>
    <row r="103" spans="1:9">
      <c r="A103" s="2"/>
      <c r="B103" s="2"/>
      <c r="C103" s="2"/>
      <c r="D103" s="2"/>
      <c r="E103" s="3"/>
      <c r="F103" s="3"/>
      <c r="G103" s="2" t="str">
        <f ca="1">IF(F103="","",F103-TODAY())</f>
        <v/>
      </c>
      <c r="H103" s="2"/>
      <c r="I103" s="2"/>
    </row>
    <row r="104" spans="1:9">
      <c r="A104" s="2"/>
      <c r="B104" s="2"/>
      <c r="C104" s="2"/>
      <c r="D104" s="2"/>
      <c r="E104" s="3"/>
      <c r="F104" s="3"/>
      <c r="G104" s="2" t="str">
        <f ca="1">IF(F104="","",F104-TODAY())</f>
        <v/>
      </c>
      <c r="H104" s="2"/>
      <c r="I104" s="2"/>
    </row>
    <row r="105" spans="1:9">
      <c r="A105" s="2"/>
      <c r="B105" s="2"/>
      <c r="C105" s="2"/>
      <c r="D105" s="2"/>
      <c r="E105" s="3"/>
      <c r="F105" s="3"/>
      <c r="G105" s="2" t="str">
        <f ca="1">IF(F105="","",F105-TODAY())</f>
        <v/>
      </c>
      <c r="H105" s="2"/>
      <c r="I105" s="2"/>
    </row>
    <row r="106" spans="1:9">
      <c r="A106" s="2"/>
      <c r="B106" s="2"/>
      <c r="C106" s="2"/>
      <c r="D106" s="2"/>
      <c r="E106" s="3"/>
      <c r="F106" s="3"/>
      <c r="G106" s="2" t="str">
        <f ca="1">IF(F106="","",F106-TODAY())</f>
        <v/>
      </c>
      <c r="H106" s="2"/>
      <c r="I106" s="2"/>
    </row>
    <row r="107" spans="1:9">
      <c r="A107" s="2"/>
      <c r="B107" s="2"/>
      <c r="C107" s="2"/>
      <c r="D107" s="2"/>
      <c r="E107" s="3"/>
      <c r="F107" s="3"/>
      <c r="G107" s="2" t="str">
        <f ca="1">IF(F107="","",F107-TODAY())</f>
        <v/>
      </c>
      <c r="H107" s="2"/>
      <c r="I107" s="2"/>
    </row>
    <row r="108" spans="1:9">
      <c r="A108" s="2"/>
      <c r="B108" s="2"/>
      <c r="C108" s="2"/>
      <c r="D108" s="2"/>
      <c r="E108" s="3"/>
      <c r="F108" s="3"/>
      <c r="G108" s="2" t="str">
        <f ca="1">IF(F108="","",F108-TODAY())</f>
        <v/>
      </c>
      <c r="H108" s="2"/>
      <c r="I108" s="2"/>
    </row>
    <row r="109" spans="1:9">
      <c r="A109" s="2"/>
      <c r="B109" s="2"/>
      <c r="C109" s="2"/>
      <c r="D109" s="2"/>
      <c r="E109" s="3"/>
      <c r="F109" s="3"/>
      <c r="G109" s="2" t="str">
        <f ca="1">IF(F109="","",F109-TODAY())</f>
        <v/>
      </c>
      <c r="H109" s="2"/>
      <c r="I109" s="2"/>
    </row>
    <row r="110" spans="1:9">
      <c r="A110" s="2"/>
      <c r="B110" s="2"/>
      <c r="C110" s="2"/>
      <c r="D110" s="2"/>
      <c r="E110" s="3"/>
      <c r="F110" s="3"/>
      <c r="G110" s="2" t="str">
        <f ca="1">IF(F110="","",F110-TODAY())</f>
        <v/>
      </c>
      <c r="H110" s="2"/>
      <c r="I110" s="2"/>
    </row>
    <row r="111" spans="1:9">
      <c r="A111" s="2"/>
      <c r="B111" s="2"/>
      <c r="C111" s="2"/>
      <c r="D111" s="2"/>
      <c r="E111" s="3"/>
      <c r="F111" s="3"/>
      <c r="G111" s="2" t="str">
        <f ca="1">IF(F111="","",F111-TODAY())</f>
        <v/>
      </c>
      <c r="H111" s="2"/>
      <c r="I111" s="2"/>
    </row>
    <row r="112" spans="1:9">
      <c r="A112" s="2"/>
      <c r="B112" s="2"/>
      <c r="C112" s="2"/>
      <c r="D112" s="2"/>
      <c r="E112" s="3"/>
      <c r="F112" s="3"/>
      <c r="G112" s="2" t="str">
        <f ca="1">IF(F112="","",F112-TODAY())</f>
        <v/>
      </c>
      <c r="H112" s="2"/>
      <c r="I112" s="2"/>
    </row>
    <row r="113" spans="1:9">
      <c r="A113" s="2"/>
      <c r="B113" s="2"/>
      <c r="C113" s="2"/>
      <c r="D113" s="2"/>
      <c r="E113" s="3"/>
      <c r="F113" s="3"/>
      <c r="G113" s="2" t="str">
        <f ca="1">IF(F113="","",F113-TODAY())</f>
        <v/>
      </c>
      <c r="H113" s="2"/>
      <c r="I113" s="2"/>
    </row>
    <row r="114" spans="1:9">
      <c r="A114" s="2"/>
      <c r="B114" s="2"/>
      <c r="C114" s="2"/>
      <c r="D114" s="2"/>
      <c r="E114" s="3"/>
      <c r="F114" s="3"/>
      <c r="G114" s="2" t="str">
        <f ca="1">IF(F114="","",F114-TODAY())</f>
        <v/>
      </c>
      <c r="H114" s="2"/>
      <c r="I114" s="2"/>
    </row>
    <row r="115" spans="1:9">
      <c r="A115" s="2"/>
      <c r="B115" s="2"/>
      <c r="C115" s="2"/>
      <c r="D115" s="2"/>
      <c r="E115" s="3"/>
      <c r="F115" s="3"/>
      <c r="G115" s="2" t="str">
        <f ca="1">IF(F115="","",F115-TODAY())</f>
        <v/>
      </c>
      <c r="H115" s="2"/>
      <c r="I115" s="2"/>
    </row>
    <row r="116" spans="1:9">
      <c r="A116" s="2"/>
      <c r="B116" s="2"/>
      <c r="C116" s="2"/>
      <c r="D116" s="2"/>
      <c r="E116" s="3"/>
      <c r="F116" s="3"/>
      <c r="G116" s="2" t="str">
        <f ca="1">IF(F116="","",F116-TODAY())</f>
        <v/>
      </c>
      <c r="H116" s="2"/>
      <c r="I116" s="2"/>
    </row>
    <row r="117" spans="1:9">
      <c r="A117" s="2"/>
      <c r="B117" s="2"/>
      <c r="C117" s="2"/>
      <c r="D117" s="2"/>
      <c r="E117" s="3"/>
      <c r="F117" s="3"/>
      <c r="G117" s="2" t="str">
        <f ca="1">IF(F117="","",F117-TODAY())</f>
        <v/>
      </c>
      <c r="H117" s="2"/>
      <c r="I117" s="2"/>
    </row>
    <row r="118" spans="1:9">
      <c r="A118" s="2"/>
      <c r="B118" s="2"/>
      <c r="C118" s="2"/>
      <c r="D118" s="2"/>
      <c r="E118" s="3"/>
      <c r="F118" s="3"/>
      <c r="G118" s="2" t="str">
        <f ca="1">IF(F118="","",F118-TODAY())</f>
        <v/>
      </c>
      <c r="H118" s="2"/>
      <c r="I118" s="2"/>
    </row>
    <row r="119" spans="1:9">
      <c r="A119" s="2"/>
      <c r="B119" s="2"/>
      <c r="C119" s="2"/>
      <c r="D119" s="2"/>
      <c r="E119" s="3"/>
      <c r="F119" s="3"/>
      <c r="G119" s="2" t="str">
        <f ca="1">IF(F119="","",F119-TODAY())</f>
        <v/>
      </c>
      <c r="H119" s="2"/>
      <c r="I119" s="2"/>
    </row>
    <row r="120" spans="1:9">
      <c r="A120" s="2"/>
      <c r="B120" s="2"/>
      <c r="C120" s="2"/>
      <c r="D120" s="2"/>
      <c r="E120" s="3"/>
      <c r="F120" s="3"/>
      <c r="G120" s="2" t="str">
        <f ca="1">IF(F120="","",F120-TODAY())</f>
        <v/>
      </c>
      <c r="H120" s="2"/>
      <c r="I120" s="2"/>
    </row>
    <row r="121" spans="1:9">
      <c r="A121" s="2"/>
      <c r="B121" s="2"/>
      <c r="C121" s="2"/>
      <c r="D121" s="2"/>
      <c r="E121" s="3"/>
      <c r="F121" s="3"/>
      <c r="G121" s="2" t="str">
        <f ca="1">IF(F121="","",F121-TODAY())</f>
        <v/>
      </c>
      <c r="H121" s="2"/>
      <c r="I121" s="2"/>
    </row>
    <row r="122" spans="1:9">
      <c r="A122" s="2"/>
      <c r="B122" s="2"/>
      <c r="C122" s="2"/>
      <c r="D122" s="2"/>
      <c r="E122" s="3"/>
      <c r="F122" s="3"/>
      <c r="G122" s="2" t="str">
        <f ca="1">IF(F122="","",F122-TODAY())</f>
        <v/>
      </c>
      <c r="H122" s="2"/>
      <c r="I122" s="2"/>
    </row>
    <row r="123" spans="1:9">
      <c r="A123" s="2"/>
      <c r="B123" s="2"/>
      <c r="C123" s="2"/>
      <c r="D123" s="2"/>
      <c r="E123" s="3"/>
      <c r="F123" s="3"/>
      <c r="G123" s="2" t="str">
        <f ca="1">IF(F123="","",F123-TODAY())</f>
        <v/>
      </c>
      <c r="H123" s="2"/>
      <c r="I123" s="2"/>
    </row>
    <row r="124" spans="1:9">
      <c r="A124" s="2"/>
      <c r="B124" s="2"/>
      <c r="C124" s="2"/>
      <c r="D124" s="2"/>
      <c r="E124" s="3"/>
      <c r="F124" s="3"/>
      <c r="G124" s="2" t="str">
        <f ca="1">IF(F124="","",F124-TODAY())</f>
        <v/>
      </c>
      <c r="H124" s="2"/>
      <c r="I124" s="2"/>
    </row>
    <row r="125" spans="1:9">
      <c r="A125" s="2"/>
      <c r="B125" s="2"/>
      <c r="C125" s="2"/>
      <c r="D125" s="2"/>
      <c r="E125" s="3"/>
      <c r="F125" s="3"/>
      <c r="G125" s="2" t="str">
        <f ca="1">IF(F125="","",F125-TODAY())</f>
        <v/>
      </c>
      <c r="H125" s="2"/>
      <c r="I125" s="2"/>
    </row>
    <row r="126" spans="1:9">
      <c r="A126" s="2"/>
      <c r="B126" s="2"/>
      <c r="C126" s="2"/>
      <c r="D126" s="2"/>
      <c r="E126" s="3"/>
      <c r="F126" s="3"/>
      <c r="G126" s="2" t="str">
        <f ca="1">IF(F126="","",F126-TODAY())</f>
        <v/>
      </c>
      <c r="H126" s="2"/>
      <c r="I126" s="2"/>
    </row>
    <row r="127" spans="1:9">
      <c r="A127" s="2"/>
      <c r="B127" s="2"/>
      <c r="C127" s="2"/>
      <c r="D127" s="2"/>
      <c r="E127" s="3"/>
      <c r="F127" s="3"/>
      <c r="G127" s="2" t="str">
        <f ca="1">IF(F127="","",F127-TODAY())</f>
        <v/>
      </c>
      <c r="H127" s="2"/>
      <c r="I127" s="2"/>
    </row>
    <row r="128" spans="1:9">
      <c r="A128" s="2"/>
      <c r="B128" s="2"/>
      <c r="C128" s="2"/>
      <c r="D128" s="2"/>
      <c r="E128" s="3"/>
      <c r="F128" s="3"/>
      <c r="G128" s="2" t="str">
        <f ca="1">IF(F128="","",F128-TODAY())</f>
        <v/>
      </c>
      <c r="H128" s="2"/>
      <c r="I128" s="2"/>
    </row>
    <row r="129" spans="1:9">
      <c r="A129" s="2"/>
      <c r="B129" s="2"/>
      <c r="C129" s="2"/>
      <c r="D129" s="2"/>
      <c r="E129" s="3"/>
      <c r="F129" s="3"/>
      <c r="G129" s="2" t="str">
        <f ca="1">IF(F129="","",F129-TODAY())</f>
        <v/>
      </c>
      <c r="H129" s="2"/>
      <c r="I129" s="2"/>
    </row>
    <row r="130" spans="1:9">
      <c r="A130" s="2"/>
      <c r="B130" s="2"/>
      <c r="C130" s="2"/>
      <c r="D130" s="2"/>
      <c r="E130" s="3"/>
      <c r="F130" s="3"/>
      <c r="G130" s="2" t="str">
        <f ca="1">IF(F130="","",F130-TODAY())</f>
        <v/>
      </c>
      <c r="H130" s="2"/>
      <c r="I130" s="2"/>
    </row>
    <row r="131" spans="1:9">
      <c r="A131" s="2"/>
      <c r="B131" s="2"/>
      <c r="C131" s="2"/>
      <c r="D131" s="2"/>
      <c r="E131" s="3"/>
      <c r="F131" s="3"/>
      <c r="G131" s="2" t="str">
        <f ca="1">IF(F131="","",F131-TODAY())</f>
        <v/>
      </c>
      <c r="H131" s="2"/>
      <c r="I131" s="2"/>
    </row>
    <row r="132" spans="1:9">
      <c r="A132" s="2"/>
      <c r="B132" s="2"/>
      <c r="C132" s="2"/>
      <c r="D132" s="2"/>
      <c r="E132" s="3"/>
      <c r="F132" s="3"/>
      <c r="G132" s="2" t="str">
        <f ca="1">IF(F132="","",F132-TODAY())</f>
        <v/>
      </c>
      <c r="H132" s="2"/>
      <c r="I132" s="2"/>
    </row>
    <row r="133" spans="1:9">
      <c r="A133" s="2"/>
      <c r="B133" s="2"/>
      <c r="C133" s="2"/>
      <c r="D133" s="2"/>
      <c r="E133" s="3"/>
      <c r="F133" s="3"/>
      <c r="G133" s="2" t="str">
        <f ca="1">IF(F133="","",F133-TODAY())</f>
        <v/>
      </c>
      <c r="H133" s="2"/>
      <c r="I133" s="2"/>
    </row>
    <row r="134" spans="1:9">
      <c r="A134" s="2"/>
      <c r="B134" s="2"/>
      <c r="C134" s="2"/>
      <c r="D134" s="2"/>
      <c r="E134" s="3"/>
      <c r="F134" s="3"/>
      <c r="G134" s="2" t="str">
        <f ca="1">IF(F134="","",F134-TODAY())</f>
        <v/>
      </c>
      <c r="H134" s="2"/>
      <c r="I134" s="2"/>
    </row>
    <row r="135" spans="1:9">
      <c r="A135" s="2"/>
      <c r="B135" s="2"/>
      <c r="C135" s="2"/>
      <c r="D135" s="2"/>
      <c r="E135" s="3"/>
      <c r="F135" s="3"/>
      <c r="G135" s="2" t="str">
        <f ca="1">IF(F135="","",F135-TODAY())</f>
        <v/>
      </c>
      <c r="H135" s="2"/>
      <c r="I135" s="2"/>
    </row>
    <row r="136" spans="1:9">
      <c r="A136" s="2"/>
      <c r="B136" s="2"/>
      <c r="C136" s="2"/>
      <c r="D136" s="2"/>
      <c r="E136" s="3"/>
      <c r="F136" s="3"/>
      <c r="G136" s="2" t="str">
        <f ca="1">IF(F136="","",F136-TODAY())</f>
        <v/>
      </c>
      <c r="H136" s="2"/>
      <c r="I136" s="2"/>
    </row>
    <row r="137" spans="1:9">
      <c r="A137" s="2"/>
      <c r="B137" s="2"/>
      <c r="C137" s="2"/>
      <c r="D137" s="2"/>
      <c r="E137" s="3"/>
      <c r="F137" s="3"/>
      <c r="G137" s="2" t="str">
        <f ca="1">IF(F137="","",F137-TODAY())</f>
        <v/>
      </c>
      <c r="H137" s="2"/>
      <c r="I137" s="2"/>
    </row>
    <row r="138" spans="1:9">
      <c r="A138" s="2"/>
      <c r="B138" s="2"/>
      <c r="C138" s="2"/>
      <c r="D138" s="2"/>
      <c r="E138" s="3"/>
      <c r="F138" s="3"/>
      <c r="G138" s="2" t="str">
        <f ca="1">IF(F138="","",F138-TODAY())</f>
        <v/>
      </c>
      <c r="H138" s="2"/>
      <c r="I138" s="2"/>
    </row>
    <row r="139" spans="1:9">
      <c r="A139" s="2"/>
      <c r="B139" s="2"/>
      <c r="C139" s="2"/>
      <c r="D139" s="2"/>
      <c r="E139" s="3"/>
      <c r="F139" s="3"/>
      <c r="G139" s="2" t="str">
        <f ca="1">IF(F139="","",F139-TODAY())</f>
        <v/>
      </c>
      <c r="H139" s="2"/>
      <c r="I139" s="2"/>
    </row>
    <row r="140" spans="1:9">
      <c r="A140" s="2"/>
      <c r="B140" s="2"/>
      <c r="C140" s="2"/>
      <c r="D140" s="2"/>
      <c r="E140" s="3"/>
      <c r="F140" s="3"/>
      <c r="G140" s="2" t="str">
        <f ca="1">IF(F140="","",F140-TODAY())</f>
        <v/>
      </c>
      <c r="H140" s="2"/>
      <c r="I140" s="2"/>
    </row>
    <row r="141" spans="1:9">
      <c r="A141" s="2"/>
      <c r="B141" s="2"/>
      <c r="C141" s="2"/>
      <c r="D141" s="2"/>
      <c r="E141" s="3"/>
      <c r="F141" s="3"/>
      <c r="G141" s="2" t="str">
        <f ca="1">IF(F141="","",F141-TODAY())</f>
        <v/>
      </c>
      <c r="H141" s="2"/>
      <c r="I141" s="2"/>
    </row>
    <row r="142" spans="1:9">
      <c r="A142" s="2"/>
      <c r="B142" s="2"/>
      <c r="C142" s="2"/>
      <c r="D142" s="2"/>
      <c r="E142" s="3"/>
      <c r="F142" s="3"/>
      <c r="G142" s="2" t="str">
        <f ca="1">IF(F142="","",F142-TODAY())</f>
        <v/>
      </c>
      <c r="H142" s="2"/>
      <c r="I142" s="2"/>
    </row>
    <row r="143" spans="1:9">
      <c r="A143" s="2"/>
      <c r="B143" s="2"/>
      <c r="C143" s="2"/>
      <c r="D143" s="2"/>
      <c r="E143" s="3"/>
      <c r="F143" s="3"/>
      <c r="G143" s="2" t="str">
        <f ca="1">IF(F143="","",F143-TODAY())</f>
        <v/>
      </c>
      <c r="H143" s="2"/>
      <c r="I143" s="2"/>
    </row>
    <row r="144" spans="1:9">
      <c r="A144" s="2"/>
      <c r="B144" s="2"/>
      <c r="C144" s="2"/>
      <c r="D144" s="2"/>
      <c r="E144" s="3"/>
      <c r="F144" s="3"/>
      <c r="G144" s="2" t="str">
        <f ca="1">IF(F144="","",F144-TODAY())</f>
        <v/>
      </c>
      <c r="H144" s="2"/>
      <c r="I144" s="2"/>
    </row>
    <row r="145" spans="1:9">
      <c r="A145" s="2"/>
      <c r="B145" s="2"/>
      <c r="C145" s="2"/>
      <c r="D145" s="2"/>
      <c r="E145" s="3"/>
      <c r="F145" s="3"/>
      <c r="G145" s="2" t="str">
        <f ca="1">IF(F145="","",F145-TODAY())</f>
        <v/>
      </c>
      <c r="H145" s="2"/>
      <c r="I145" s="2"/>
    </row>
    <row r="146" spans="1:9">
      <c r="A146" s="2"/>
      <c r="B146" s="2"/>
      <c r="C146" s="2"/>
      <c r="D146" s="2"/>
      <c r="E146" s="3"/>
      <c r="F146" s="3"/>
      <c r="G146" s="2" t="str">
        <f ca="1">IF(F146="","",F146-TODAY())</f>
        <v/>
      </c>
      <c r="H146" s="2"/>
      <c r="I146" s="2"/>
    </row>
    <row r="147" spans="1:9">
      <c r="A147" s="2"/>
      <c r="B147" s="2"/>
      <c r="C147" s="2"/>
      <c r="D147" s="2"/>
      <c r="E147" s="3"/>
      <c r="F147" s="3"/>
      <c r="G147" s="2" t="str">
        <f ca="1">IF(F147="","",F147-TODAY())</f>
        <v/>
      </c>
      <c r="H147" s="2"/>
      <c r="I147" s="2"/>
    </row>
    <row r="148" spans="1:9">
      <c r="A148" s="2"/>
      <c r="B148" s="2"/>
      <c r="C148" s="2"/>
      <c r="D148" s="2"/>
      <c r="E148" s="3"/>
      <c r="F148" s="3"/>
      <c r="G148" s="2" t="str">
        <f ca="1">IF(F148="","",F148-TODAY())</f>
        <v/>
      </c>
      <c r="H148" s="2"/>
      <c r="I148" s="2"/>
    </row>
    <row r="149" spans="1:9">
      <c r="A149" s="2"/>
      <c r="B149" s="2"/>
      <c r="C149" s="2"/>
      <c r="D149" s="2"/>
      <c r="E149" s="3"/>
      <c r="F149" s="3"/>
      <c r="G149" s="2" t="str">
        <f ca="1">IF(F149="","",F149-TODAY())</f>
        <v/>
      </c>
      <c r="H149" s="2"/>
      <c r="I149" s="2"/>
    </row>
    <row r="150" spans="1:9">
      <c r="A150" s="2"/>
      <c r="B150" s="2"/>
      <c r="C150" s="2"/>
      <c r="D150" s="2"/>
      <c r="E150" s="3"/>
      <c r="F150" s="3"/>
      <c r="G150" s="2" t="str">
        <f ca="1">IF(F150="","",F150-TODAY())</f>
        <v/>
      </c>
      <c r="H150" s="2"/>
      <c r="I150" s="2"/>
    </row>
    <row r="151" spans="1:9">
      <c r="A151" s="2"/>
      <c r="B151" s="2"/>
      <c r="C151" s="2"/>
      <c r="D151" s="2"/>
      <c r="E151" s="3"/>
      <c r="F151" s="3"/>
      <c r="G151" s="2" t="str">
        <f ca="1">IF(F151="","",F151-TODAY())</f>
        <v/>
      </c>
      <c r="H151" s="2"/>
      <c r="I151" s="2"/>
    </row>
    <row r="152" spans="1:9">
      <c r="A152" s="2"/>
      <c r="B152" s="2"/>
      <c r="C152" s="2"/>
      <c r="D152" s="2"/>
      <c r="E152" s="3"/>
      <c r="F152" s="3"/>
      <c r="G152" s="2" t="str">
        <f ca="1">IF(F152="","",F152-TODAY())</f>
        <v/>
      </c>
      <c r="H152" s="2"/>
      <c r="I152" s="2"/>
    </row>
    <row r="153" spans="1:9">
      <c r="A153" s="2"/>
      <c r="B153" s="2"/>
      <c r="C153" s="2"/>
      <c r="D153" s="2"/>
      <c r="E153" s="3"/>
      <c r="F153" s="3"/>
      <c r="G153" s="2" t="str">
        <f ca="1">IF(F153="","",F153-TODAY())</f>
        <v/>
      </c>
      <c r="H153" s="2"/>
      <c r="I153" s="2"/>
    </row>
    <row r="154" spans="1:9">
      <c r="A154" s="2"/>
      <c r="B154" s="2"/>
      <c r="C154" s="2"/>
      <c r="D154" s="2"/>
      <c r="E154" s="3"/>
      <c r="F154" s="3"/>
      <c r="G154" s="2" t="str">
        <f ca="1">IF(F154="","",F154-TODAY())</f>
        <v/>
      </c>
      <c r="H154" s="2"/>
      <c r="I154" s="2"/>
    </row>
    <row r="155" spans="1:9">
      <c r="A155" s="2"/>
      <c r="B155" s="2"/>
      <c r="C155" s="2"/>
      <c r="D155" s="2"/>
      <c r="E155" s="3"/>
      <c r="F155" s="3"/>
      <c r="G155" s="2" t="str">
        <f ca="1">IF(F155="","",F155-TODAY())</f>
        <v/>
      </c>
      <c r="H155" s="2"/>
      <c r="I155" s="2"/>
    </row>
    <row r="156" spans="1:9">
      <c r="A156" s="2"/>
      <c r="B156" s="2"/>
      <c r="C156" s="2"/>
      <c r="D156" s="2"/>
      <c r="E156" s="3"/>
      <c r="F156" s="3"/>
      <c r="G156" s="2" t="str">
        <f ca="1">IF(F156="","",F156-TODAY())</f>
        <v/>
      </c>
      <c r="H156" s="2"/>
      <c r="I156" s="2"/>
    </row>
    <row r="157" spans="1:9">
      <c r="A157" s="2"/>
      <c r="B157" s="2"/>
      <c r="C157" s="2"/>
      <c r="D157" s="2"/>
      <c r="E157" s="3"/>
      <c r="F157" s="3"/>
      <c r="G157" s="2" t="str">
        <f ca="1">IF(F157="","",F157-TODAY())</f>
        <v/>
      </c>
      <c r="H157" s="2"/>
      <c r="I157" s="2"/>
    </row>
    <row r="158" spans="1:9">
      <c r="A158" s="2"/>
      <c r="B158" s="2"/>
      <c r="C158" s="2"/>
      <c r="D158" s="2"/>
      <c r="E158" s="3"/>
      <c r="F158" s="3"/>
      <c r="G158" s="2" t="str">
        <f ca="1">IF(F158="","",F158-TODAY())</f>
        <v/>
      </c>
      <c r="H158" s="2"/>
      <c r="I158" s="2"/>
    </row>
    <row r="159" spans="1:9">
      <c r="A159" s="2"/>
      <c r="B159" s="2"/>
      <c r="C159" s="2"/>
      <c r="D159" s="2"/>
      <c r="E159" s="3"/>
      <c r="F159" s="3"/>
      <c r="G159" s="2" t="str">
        <f ca="1">IF(F159="","",F159-TODAY())</f>
        <v/>
      </c>
      <c r="H159" s="2"/>
      <c r="I159" s="2"/>
    </row>
    <row r="160" spans="1:9">
      <c r="A160" s="2"/>
      <c r="B160" s="2"/>
      <c r="C160" s="2"/>
      <c r="D160" s="2"/>
      <c r="E160" s="3"/>
      <c r="F160" s="3"/>
      <c r="G160" s="2" t="str">
        <f ca="1">IF(F160="","",F160-TODAY())</f>
        <v/>
      </c>
      <c r="H160" s="2"/>
      <c r="I160" s="2"/>
    </row>
    <row r="161" spans="1:9">
      <c r="A161" s="2"/>
      <c r="B161" s="2"/>
      <c r="C161" s="2"/>
      <c r="D161" s="2"/>
      <c r="E161" s="3"/>
      <c r="F161" s="3"/>
      <c r="G161" s="2" t="str">
        <f ca="1">IF(F161="","",F161-TODAY())</f>
        <v/>
      </c>
      <c r="H161" s="2"/>
      <c r="I161" s="2"/>
    </row>
    <row r="162" spans="1:9">
      <c r="A162" s="2"/>
      <c r="B162" s="2"/>
      <c r="C162" s="2"/>
      <c r="D162" s="2"/>
      <c r="E162" s="3"/>
      <c r="F162" s="3"/>
      <c r="G162" s="2" t="str">
        <f ca="1">IF(F162="","",F162-TODAY())</f>
        <v/>
      </c>
      <c r="H162" s="2"/>
      <c r="I162" s="2"/>
    </row>
    <row r="163" spans="1:9">
      <c r="A163" s="2"/>
      <c r="B163" s="2"/>
      <c r="C163" s="2"/>
      <c r="D163" s="2"/>
      <c r="E163" s="3"/>
      <c r="F163" s="3"/>
      <c r="G163" s="2" t="str">
        <f ca="1">IF(F163="","",F163-TODAY())</f>
        <v/>
      </c>
      <c r="H163" s="2"/>
      <c r="I163" s="2"/>
    </row>
    <row r="164" spans="1:9">
      <c r="A164" s="2"/>
      <c r="B164" s="2"/>
      <c r="C164" s="2"/>
      <c r="D164" s="2"/>
      <c r="E164" s="3"/>
      <c r="F164" s="3"/>
      <c r="G164" s="2" t="str">
        <f ca="1">IF(F164="","",F164-TODAY())</f>
        <v/>
      </c>
      <c r="H164" s="2"/>
      <c r="I164" s="2"/>
    </row>
    <row r="165" spans="1:9">
      <c r="A165" s="2"/>
      <c r="B165" s="2"/>
      <c r="C165" s="2"/>
      <c r="D165" s="2"/>
      <c r="E165" s="3"/>
      <c r="F165" s="3"/>
      <c r="G165" s="2" t="str">
        <f ca="1">IF(F165="","",F165-TODAY())</f>
        <v/>
      </c>
      <c r="H165" s="2"/>
      <c r="I165" s="2"/>
    </row>
    <row r="166" spans="1:9">
      <c r="A166" s="2"/>
      <c r="B166" s="2"/>
      <c r="C166" s="2"/>
      <c r="D166" s="2"/>
      <c r="E166" s="3"/>
      <c r="F166" s="3"/>
      <c r="G166" s="2" t="str">
        <f ca="1">IF(F166="","",F166-TODAY())</f>
        <v/>
      </c>
      <c r="H166" s="2"/>
      <c r="I166" s="2"/>
    </row>
    <row r="167" spans="1:9">
      <c r="A167" s="2"/>
      <c r="B167" s="2"/>
      <c r="C167" s="2"/>
      <c r="D167" s="2"/>
      <c r="E167" s="3"/>
      <c r="F167" s="3"/>
      <c r="G167" s="2" t="str">
        <f ca="1">IF(F167="","",F167-TODAY())</f>
        <v/>
      </c>
      <c r="H167" s="2"/>
      <c r="I167" s="2"/>
    </row>
    <row r="168" spans="1:9">
      <c r="A168" s="2"/>
      <c r="B168" s="2"/>
      <c r="C168" s="2"/>
      <c r="D168" s="2"/>
      <c r="E168" s="3"/>
      <c r="F168" s="3"/>
      <c r="G168" s="2" t="str">
        <f ca="1">IF(F168="","",F168-TODAY())</f>
        <v/>
      </c>
      <c r="H168" s="2"/>
      <c r="I168" s="2"/>
    </row>
    <row r="169" spans="1:9">
      <c r="A169" s="2"/>
      <c r="B169" s="2"/>
      <c r="C169" s="2"/>
      <c r="D169" s="2"/>
      <c r="E169" s="3"/>
      <c r="F169" s="3"/>
      <c r="G169" s="2" t="str">
        <f ca="1">IF(F169="","",F169-TODAY())</f>
        <v/>
      </c>
      <c r="H169" s="2"/>
      <c r="I169" s="2"/>
    </row>
    <row r="170" spans="1:9">
      <c r="A170" s="2"/>
      <c r="B170" s="2"/>
      <c r="C170" s="2"/>
      <c r="D170" s="2"/>
      <c r="E170" s="3"/>
      <c r="F170" s="3"/>
      <c r="G170" s="2" t="str">
        <f ca="1">IF(F170="","",F170-TODAY())</f>
        <v/>
      </c>
      <c r="H170" s="2"/>
      <c r="I170" s="2"/>
    </row>
    <row r="171" spans="1:9">
      <c r="A171" s="2"/>
      <c r="B171" s="2"/>
      <c r="C171" s="2"/>
      <c r="D171" s="2"/>
      <c r="E171" s="3"/>
      <c r="F171" s="3"/>
      <c r="G171" s="2" t="str">
        <f ca="1">IF(F171="","",F171-TODAY())</f>
        <v/>
      </c>
      <c r="H171" s="2"/>
      <c r="I171" s="2"/>
    </row>
    <row r="172" spans="1:9">
      <c r="A172" s="2"/>
      <c r="B172" s="2"/>
      <c r="C172" s="2"/>
      <c r="D172" s="2"/>
      <c r="E172" s="3"/>
      <c r="F172" s="3"/>
      <c r="G172" s="2" t="str">
        <f ca="1">IF(F172="","",F172-TODAY())</f>
        <v/>
      </c>
      <c r="H172" s="2"/>
      <c r="I172" s="2"/>
    </row>
    <row r="173" spans="1:9">
      <c r="A173" s="2"/>
      <c r="B173" s="2"/>
      <c r="C173" s="2"/>
      <c r="D173" s="2"/>
      <c r="E173" s="3"/>
      <c r="F173" s="3"/>
      <c r="G173" s="2" t="str">
        <f ca="1">IF(F173="","",F173-TODAY())</f>
        <v/>
      </c>
      <c r="H173" s="2"/>
      <c r="I173" s="2"/>
    </row>
    <row r="174" spans="1:9">
      <c r="A174" s="2"/>
      <c r="B174" s="2"/>
      <c r="C174" s="2"/>
      <c r="D174" s="2"/>
      <c r="E174" s="3"/>
      <c r="F174" s="3"/>
      <c r="G174" s="2" t="str">
        <f ca="1">IF(F174="","",F174-TODAY())</f>
        <v/>
      </c>
      <c r="H174" s="2"/>
      <c r="I174" s="2"/>
    </row>
    <row r="175" spans="1:9">
      <c r="A175" s="2"/>
      <c r="B175" s="2"/>
      <c r="C175" s="2"/>
      <c r="D175" s="2"/>
      <c r="E175" s="3"/>
      <c r="F175" s="3"/>
      <c r="G175" s="2" t="str">
        <f ca="1">IF(F175="","",F175-TODAY())</f>
        <v/>
      </c>
      <c r="H175" s="2"/>
      <c r="I175" s="2"/>
    </row>
    <row r="176" spans="1:9">
      <c r="A176" s="2"/>
      <c r="B176" s="2"/>
      <c r="C176" s="2"/>
      <c r="D176" s="2"/>
      <c r="E176" s="3"/>
      <c r="F176" s="3"/>
      <c r="G176" s="2" t="str">
        <f ca="1">IF(F176="","",F176-TODAY())</f>
        <v/>
      </c>
      <c r="H176" s="2"/>
      <c r="I176" s="2"/>
    </row>
    <row r="177" spans="1:9">
      <c r="A177" s="2"/>
      <c r="B177" s="2"/>
      <c r="C177" s="2"/>
      <c r="D177" s="2"/>
      <c r="E177" s="3"/>
      <c r="F177" s="3"/>
      <c r="G177" s="2" t="str">
        <f ca="1">IF(F177="","",F177-TODAY())</f>
        <v/>
      </c>
      <c r="H177" s="2"/>
      <c r="I177" s="2"/>
    </row>
    <row r="178" spans="1:9">
      <c r="A178" s="2"/>
      <c r="B178" s="2"/>
      <c r="C178" s="2"/>
      <c r="D178" s="2"/>
      <c r="E178" s="3"/>
      <c r="F178" s="3"/>
      <c r="G178" s="2" t="str">
        <f ca="1">IF(F178="","",F178-TODAY())</f>
        <v/>
      </c>
      <c r="H178" s="2"/>
      <c r="I178" s="2"/>
    </row>
    <row r="179" spans="1:9">
      <c r="A179" s="2"/>
      <c r="B179" s="2"/>
      <c r="C179" s="2"/>
      <c r="D179" s="2"/>
      <c r="E179" s="3"/>
      <c r="F179" s="3"/>
      <c r="G179" s="2" t="str">
        <f ca="1">IF(F179="","",F179-TODAY())</f>
        <v/>
      </c>
      <c r="H179" s="2"/>
      <c r="I179" s="2"/>
    </row>
    <row r="180" spans="1:9">
      <c r="A180" s="2"/>
      <c r="B180" s="2"/>
      <c r="C180" s="2"/>
      <c r="D180" s="2"/>
      <c r="E180" s="3"/>
      <c r="F180" s="3"/>
      <c r="G180" s="2" t="str">
        <f ca="1">IF(F180="","",F180-TODAY())</f>
        <v/>
      </c>
      <c r="H180" s="2"/>
      <c r="I180" s="2"/>
    </row>
    <row r="181" spans="1:9">
      <c r="A181" s="2"/>
      <c r="B181" s="2"/>
      <c r="C181" s="2"/>
      <c r="D181" s="2"/>
      <c r="E181" s="3"/>
      <c r="F181" s="3"/>
      <c r="G181" s="2" t="str">
        <f ca="1">IF(F181="","",F181-TODAY())</f>
        <v/>
      </c>
      <c r="H181" s="2"/>
      <c r="I181" s="2"/>
    </row>
    <row r="182" spans="1:9">
      <c r="A182" s="2"/>
      <c r="B182" s="2"/>
      <c r="C182" s="2"/>
      <c r="D182" s="2"/>
      <c r="E182" s="3"/>
      <c r="F182" s="3"/>
      <c r="G182" s="2" t="str">
        <f ca="1">IF(F182="","",F182-TODAY())</f>
        <v/>
      </c>
      <c r="H182" s="2"/>
      <c r="I182" s="2"/>
    </row>
    <row r="183" spans="1:9">
      <c r="A183" s="2"/>
      <c r="B183" s="2"/>
      <c r="C183" s="2"/>
      <c r="D183" s="2"/>
      <c r="E183" s="3"/>
      <c r="F183" s="3"/>
      <c r="G183" s="2" t="str">
        <f ca="1">IF(F183="","",F183-TODAY())</f>
        <v/>
      </c>
      <c r="H183" s="2"/>
      <c r="I183" s="2"/>
    </row>
    <row r="184" spans="1:9">
      <c r="A184" s="2"/>
      <c r="B184" s="2"/>
      <c r="C184" s="2"/>
      <c r="D184" s="2"/>
      <c r="E184" s="3"/>
      <c r="F184" s="3"/>
      <c r="G184" s="2" t="str">
        <f ca="1">IF(F184="","",F184-TODAY())</f>
        <v/>
      </c>
      <c r="H184" s="2"/>
      <c r="I184" s="2"/>
    </row>
    <row r="185" spans="1:9">
      <c r="A185" s="2"/>
      <c r="B185" s="2"/>
      <c r="C185" s="2"/>
      <c r="D185" s="2"/>
      <c r="E185" s="3"/>
      <c r="F185" s="3"/>
      <c r="G185" s="2" t="str">
        <f ca="1">IF(F185="","",F185-TODAY())</f>
        <v/>
      </c>
      <c r="H185" s="2"/>
      <c r="I185" s="2"/>
    </row>
    <row r="186" spans="1:9">
      <c r="A186" s="2"/>
      <c r="B186" s="2"/>
      <c r="C186" s="2"/>
      <c r="D186" s="2"/>
      <c r="E186" s="3"/>
      <c r="F186" s="3"/>
      <c r="G186" s="2" t="str">
        <f ca="1">IF(F186="","",F186-TODAY())</f>
        <v/>
      </c>
      <c r="H186" s="2"/>
      <c r="I186" s="2"/>
    </row>
    <row r="187" spans="1:9">
      <c r="A187" s="2"/>
      <c r="B187" s="2"/>
      <c r="C187" s="2"/>
      <c r="D187" s="2"/>
      <c r="E187" s="3"/>
      <c r="F187" s="3"/>
      <c r="G187" s="2" t="str">
        <f ca="1">IF(F187="","",F187-TODAY())</f>
        <v/>
      </c>
      <c r="H187" s="2"/>
      <c r="I187" s="2"/>
    </row>
    <row r="188" spans="1:9">
      <c r="A188" s="2"/>
      <c r="B188" s="2"/>
      <c r="C188" s="2"/>
      <c r="D188" s="2"/>
      <c r="E188" s="3"/>
      <c r="F188" s="3"/>
      <c r="G188" s="2" t="str">
        <f ca="1">IF(F188="","",F188-TODAY())</f>
        <v/>
      </c>
      <c r="H188" s="2"/>
      <c r="I188" s="2"/>
    </row>
    <row r="189" spans="1:9">
      <c r="A189" s="2"/>
      <c r="B189" s="2"/>
      <c r="C189" s="2"/>
      <c r="D189" s="2"/>
      <c r="E189" s="3"/>
      <c r="F189" s="3"/>
      <c r="G189" s="2" t="str">
        <f ca="1">IF(F189="","",F189-TODAY())</f>
        <v/>
      </c>
      <c r="H189" s="2"/>
      <c r="I189" s="2"/>
    </row>
    <row r="190" spans="1:9">
      <c r="A190" s="2"/>
      <c r="B190" s="2"/>
      <c r="C190" s="2"/>
      <c r="D190" s="2"/>
      <c r="E190" s="3"/>
      <c r="F190" s="3"/>
      <c r="G190" s="2" t="str">
        <f ca="1">IF(F190="","",F190-TODAY())</f>
        <v/>
      </c>
      <c r="H190" s="2"/>
      <c r="I190" s="2"/>
    </row>
    <row r="191" spans="1:9">
      <c r="A191" s="2"/>
      <c r="B191" s="2"/>
      <c r="C191" s="2"/>
      <c r="D191" s="2"/>
      <c r="E191" s="3"/>
      <c r="F191" s="3"/>
      <c r="G191" s="2" t="str">
        <f ca="1">IF(F191="","",F191-TODAY())</f>
        <v/>
      </c>
      <c r="H191" s="2"/>
      <c r="I191" s="2"/>
    </row>
    <row r="192" spans="1:9">
      <c r="A192" s="2"/>
      <c r="B192" s="2"/>
      <c r="C192" s="2"/>
      <c r="D192" s="2"/>
      <c r="E192" s="3"/>
      <c r="F192" s="3"/>
      <c r="G192" s="2" t="str">
        <f ca="1">IF(F192="","",F192-TODAY())</f>
        <v/>
      </c>
      <c r="H192" s="2"/>
      <c r="I192" s="2"/>
    </row>
    <row r="193" spans="1:9">
      <c r="A193" s="2"/>
      <c r="B193" s="2"/>
      <c r="C193" s="2"/>
      <c r="D193" s="2"/>
      <c r="E193" s="3"/>
      <c r="F193" s="3"/>
      <c r="G193" s="2" t="str">
        <f ca="1">IF(F193="","",F193-TODAY())</f>
        <v/>
      </c>
      <c r="H193" s="2"/>
      <c r="I193" s="2"/>
    </row>
    <row r="194" spans="1:9">
      <c r="A194" s="2"/>
      <c r="B194" s="2"/>
      <c r="C194" s="2"/>
      <c r="D194" s="2"/>
      <c r="E194" s="3"/>
      <c r="F194" s="3"/>
      <c r="G194" s="2" t="str">
        <f ca="1">IF(F194="","",F194-TODAY())</f>
        <v/>
      </c>
      <c r="H194" s="2"/>
      <c r="I194" s="2"/>
    </row>
    <row r="195" spans="1:9">
      <c r="A195" s="2"/>
      <c r="B195" s="2"/>
      <c r="C195" s="2"/>
      <c r="D195" s="2"/>
      <c r="E195" s="3"/>
      <c r="F195" s="3"/>
      <c r="G195" s="2" t="str">
        <f ca="1">IF(F195="","",F195-TODAY())</f>
        <v/>
      </c>
      <c r="H195" s="2"/>
      <c r="I195" s="2"/>
    </row>
    <row r="196" spans="1:9">
      <c r="A196" s="2"/>
      <c r="B196" s="2"/>
      <c r="C196" s="2"/>
      <c r="D196" s="2"/>
      <c r="E196" s="3"/>
      <c r="F196" s="3"/>
      <c r="G196" s="2" t="str">
        <f ca="1">IF(F196="","",F196-TODAY())</f>
        <v/>
      </c>
      <c r="H196" s="2"/>
      <c r="I196" s="2"/>
    </row>
    <row r="197" spans="1:9">
      <c r="A197" s="2"/>
      <c r="B197" s="2"/>
      <c r="C197" s="2"/>
      <c r="D197" s="2"/>
      <c r="E197" s="3"/>
      <c r="F197" s="3"/>
      <c r="G197" s="2" t="str">
        <f ca="1">IF(F197="","",F197-TODAY())</f>
        <v/>
      </c>
      <c r="H197" s="2"/>
      <c r="I197" s="2"/>
    </row>
    <row r="198" spans="1:9">
      <c r="A198" s="2"/>
      <c r="B198" s="2"/>
      <c r="C198" s="2"/>
      <c r="D198" s="2"/>
      <c r="E198" s="3"/>
      <c r="F198" s="3"/>
      <c r="G198" s="2" t="str">
        <f ca="1">IF(F198="","",F198-TODAY())</f>
        <v/>
      </c>
      <c r="H198" s="2"/>
      <c r="I198" s="2"/>
    </row>
    <row r="199" spans="1:9">
      <c r="A199" s="2"/>
      <c r="B199" s="2"/>
      <c r="C199" s="2"/>
      <c r="D199" s="2"/>
      <c r="E199" s="3"/>
      <c r="F199" s="3"/>
      <c r="G199" s="2" t="str">
        <f ca="1">IF(F199="","",F199-TODAY())</f>
        <v/>
      </c>
      <c r="H199" s="2"/>
      <c r="I199" s="2"/>
    </row>
    <row r="200" spans="1:9">
      <c r="A200" s="2"/>
      <c r="B200" s="2"/>
      <c r="C200" s="2"/>
      <c r="D200" s="2"/>
      <c r="E200" s="3"/>
      <c r="F200" s="3"/>
      <c r="G200" s="2" t="str">
        <f ca="1">IF(F200="","",F200-TODAY())</f>
        <v/>
      </c>
      <c r="H200" s="2"/>
      <c r="I200" s="2"/>
    </row>
    <row r="201" spans="1:9">
      <c r="A201" s="2"/>
      <c r="B201" s="2"/>
      <c r="C201" s="2"/>
      <c r="D201" s="2"/>
      <c r="E201" s="3"/>
      <c r="F201" s="3"/>
      <c r="G201" s="2" t="str">
        <f ca="1">IF(F201="","",F201-TODAY())</f>
        <v/>
      </c>
      <c r="H201" s="2"/>
      <c r="I201" s="2"/>
    </row>
    <row r="202" spans="1:9">
      <c r="A202" s="2"/>
      <c r="B202" s="2"/>
      <c r="C202" s="2"/>
      <c r="D202" s="2"/>
      <c r="E202" s="3"/>
      <c r="F202" s="3"/>
      <c r="G202" s="2" t="str">
        <f ca="1">IF(F202="","",F202-TODAY())</f>
        <v/>
      </c>
      <c r="H202" s="2"/>
      <c r="I202" s="2"/>
    </row>
    <row r="203" spans="1:9">
      <c r="A203" s="2"/>
      <c r="B203" s="2"/>
      <c r="C203" s="2"/>
      <c r="D203" s="2"/>
      <c r="E203" s="3"/>
      <c r="F203" s="3"/>
      <c r="G203" s="2" t="str">
        <f ca="1">IF(F203="","",F203-TODAY())</f>
        <v/>
      </c>
      <c r="H203" s="2"/>
      <c r="I203" s="2"/>
    </row>
    <row r="204" spans="1:9">
      <c r="A204" s="2"/>
      <c r="B204" s="2"/>
      <c r="C204" s="2"/>
      <c r="D204" s="2"/>
      <c r="E204" s="3"/>
      <c r="F204" s="3"/>
      <c r="G204" s="2" t="str">
        <f ca="1">IF(F204="","",F204-TODAY())</f>
        <v/>
      </c>
      <c r="H204" s="2"/>
      <c r="I204" s="2"/>
    </row>
    <row r="205" spans="1:9">
      <c r="A205" s="2"/>
      <c r="B205" s="2"/>
      <c r="C205" s="2"/>
      <c r="D205" s="2"/>
      <c r="E205" s="3"/>
      <c r="F205" s="3"/>
      <c r="G205" s="2" t="str">
        <f ca="1">IF(F205="","",F205-TODAY())</f>
        <v/>
      </c>
      <c r="H205" s="2"/>
      <c r="I205" s="2"/>
    </row>
    <row r="206" spans="1:9">
      <c r="A206" s="2"/>
      <c r="B206" s="2"/>
      <c r="C206" s="2"/>
      <c r="D206" s="2"/>
      <c r="E206" s="3"/>
      <c r="F206" s="3"/>
      <c r="G206" s="2" t="str">
        <f ca="1">IF(F206="","",F206-TODAY())</f>
        <v/>
      </c>
      <c r="H206" s="2"/>
      <c r="I206" s="2"/>
    </row>
    <row r="207" spans="1:9">
      <c r="A207" s="2"/>
      <c r="B207" s="2"/>
      <c r="C207" s="2"/>
      <c r="D207" s="2"/>
      <c r="E207" s="3"/>
      <c r="F207" s="3"/>
      <c r="G207" s="2" t="str">
        <f ca="1">IF(F207="","",F207-TODAY())</f>
        <v/>
      </c>
      <c r="H207" s="2"/>
      <c r="I207" s="2"/>
    </row>
    <row r="208" spans="1:9">
      <c r="A208" s="2"/>
      <c r="B208" s="2"/>
      <c r="C208" s="2"/>
      <c r="D208" s="2"/>
      <c r="E208" s="3"/>
      <c r="F208" s="3"/>
      <c r="G208" s="2" t="str">
        <f ca="1">IF(F208="","",F208-TODAY())</f>
        <v/>
      </c>
      <c r="H208" s="2"/>
      <c r="I208" s="2"/>
    </row>
    <row r="209" spans="1:9">
      <c r="A209" s="2"/>
      <c r="B209" s="2"/>
      <c r="C209" s="2"/>
      <c r="D209" s="2"/>
      <c r="E209" s="3"/>
      <c r="F209" s="3"/>
      <c r="G209" s="2" t="str">
        <f ca="1">IF(F209="","",F209-TODAY())</f>
        <v/>
      </c>
      <c r="H209" s="2"/>
      <c r="I209" s="2"/>
    </row>
    <row r="210" spans="1:9">
      <c r="A210" s="2"/>
      <c r="B210" s="2"/>
      <c r="C210" s="2"/>
      <c r="D210" s="2"/>
      <c r="E210" s="3"/>
      <c r="F210" s="3"/>
      <c r="G210" s="2" t="str">
        <f ca="1">IF(F210="","",F210-TODAY())</f>
        <v/>
      </c>
      <c r="H210" s="2"/>
      <c r="I210" s="2"/>
    </row>
    <row r="211" spans="1:9">
      <c r="A211" s="2"/>
      <c r="B211" s="2"/>
      <c r="C211" s="2"/>
      <c r="D211" s="2"/>
      <c r="E211" s="3"/>
      <c r="F211" s="3"/>
      <c r="G211" s="2" t="str">
        <f ca="1">IF(F211="","",F211-TODAY())</f>
        <v/>
      </c>
      <c r="H211" s="2"/>
      <c r="I211" s="2"/>
    </row>
    <row r="212" spans="1:9">
      <c r="A212" s="2"/>
      <c r="B212" s="2"/>
      <c r="C212" s="2"/>
      <c r="D212" s="2"/>
      <c r="E212" s="3"/>
      <c r="F212" s="3"/>
      <c r="G212" s="2" t="str">
        <f ca="1">IF(F212="","",F212-TODAY())</f>
        <v/>
      </c>
      <c r="H212" s="2"/>
      <c r="I212" s="2"/>
    </row>
    <row r="213" spans="1:9">
      <c r="A213" s="2"/>
      <c r="B213" s="2"/>
      <c r="C213" s="2"/>
      <c r="D213" s="2"/>
      <c r="E213" s="3"/>
      <c r="F213" s="3"/>
      <c r="G213" s="2" t="str">
        <f ca="1">IF(F213="","",F213-TODAY())</f>
        <v/>
      </c>
      <c r="H213" s="2"/>
      <c r="I213" s="2"/>
    </row>
    <row r="214" spans="1:9">
      <c r="A214" s="2"/>
      <c r="B214" s="2"/>
      <c r="C214" s="2"/>
      <c r="D214" s="2"/>
      <c r="E214" s="3"/>
      <c r="F214" s="3"/>
      <c r="G214" s="2" t="str">
        <f ca="1">IF(F214="","",F214-TODAY())</f>
        <v/>
      </c>
      <c r="H214" s="2"/>
      <c r="I214" s="2"/>
    </row>
    <row r="215" spans="1:9">
      <c r="A215" s="2"/>
      <c r="B215" s="2"/>
      <c r="C215" s="2"/>
      <c r="D215" s="2"/>
      <c r="E215" s="3"/>
      <c r="F215" s="3"/>
      <c r="G215" s="2" t="str">
        <f ca="1">IF(F215="","",F215-TODAY())</f>
        <v/>
      </c>
      <c r="H215" s="2"/>
      <c r="I215" s="2"/>
    </row>
    <row r="216" spans="1:9">
      <c r="A216" s="2"/>
      <c r="B216" s="2"/>
      <c r="C216" s="2"/>
      <c r="D216" s="2"/>
      <c r="E216" s="3"/>
      <c r="F216" s="3"/>
      <c r="G216" s="2" t="str">
        <f ca="1">IF(F216="","",F216-TODAY())</f>
        <v/>
      </c>
      <c r="H216" s="2"/>
      <c r="I216" s="2"/>
    </row>
    <row r="217" spans="1:9">
      <c r="A217" s="2"/>
      <c r="B217" s="2"/>
      <c r="C217" s="2"/>
      <c r="D217" s="2"/>
      <c r="E217" s="3"/>
      <c r="F217" s="3"/>
      <c r="G217" s="2" t="str">
        <f ca="1">IF(F217="","",F217-TODAY())</f>
        <v/>
      </c>
      <c r="H217" s="2"/>
      <c r="I217" s="2"/>
    </row>
    <row r="218" spans="1:9">
      <c r="A218" s="2"/>
      <c r="B218" s="2"/>
      <c r="C218" s="2"/>
      <c r="D218" s="2"/>
      <c r="E218" s="3"/>
      <c r="F218" s="3"/>
      <c r="G218" s="2" t="str">
        <f ca="1">IF(F218="","",F218-TODAY())</f>
        <v/>
      </c>
      <c r="H218" s="2"/>
      <c r="I218" s="2"/>
    </row>
    <row r="219" spans="1:9">
      <c r="A219" s="2"/>
      <c r="B219" s="2"/>
      <c r="C219" s="2"/>
      <c r="D219" s="2"/>
      <c r="E219" s="3"/>
      <c r="F219" s="3"/>
      <c r="G219" s="2" t="str">
        <f ca="1">IF(F219="","",F219-TODAY())</f>
        <v/>
      </c>
      <c r="H219" s="2"/>
      <c r="I219" s="2"/>
    </row>
    <row r="220" spans="1:9">
      <c r="A220" s="2"/>
      <c r="B220" s="2"/>
      <c r="C220" s="2"/>
      <c r="D220" s="2"/>
      <c r="E220" s="3"/>
      <c r="F220" s="3"/>
      <c r="G220" s="2" t="str">
        <f ca="1">IF(F220="","",F220-TODAY())</f>
        <v/>
      </c>
      <c r="H220" s="2"/>
      <c r="I220" s="2"/>
    </row>
    <row r="221" spans="1:9">
      <c r="A221" s="2"/>
      <c r="B221" s="2"/>
      <c r="C221" s="2"/>
      <c r="D221" s="2"/>
      <c r="E221" s="3"/>
      <c r="F221" s="3"/>
      <c r="G221" s="2" t="str">
        <f ca="1">IF(F221="","",F221-TODAY())</f>
        <v/>
      </c>
      <c r="H221" s="2"/>
      <c r="I221" s="2"/>
    </row>
    <row r="222" spans="1:9">
      <c r="A222" s="2"/>
      <c r="B222" s="2"/>
      <c r="C222" s="2"/>
      <c r="D222" s="2"/>
      <c r="E222" s="3"/>
      <c r="F222" s="3"/>
      <c r="G222" s="2" t="str">
        <f ca="1">IF(F222="","",F222-TODAY())</f>
        <v/>
      </c>
      <c r="H222" s="2"/>
      <c r="I222" s="2"/>
    </row>
    <row r="223" spans="1:9">
      <c r="A223" s="2"/>
      <c r="B223" s="2"/>
      <c r="C223" s="2"/>
      <c r="D223" s="2"/>
      <c r="E223" s="3"/>
      <c r="F223" s="3"/>
      <c r="G223" s="2" t="str">
        <f ca="1">IF(F223="","",F223-TODAY())</f>
        <v/>
      </c>
      <c r="H223" s="2"/>
      <c r="I223" s="2"/>
    </row>
    <row r="224" spans="1:9">
      <c r="A224" s="2"/>
      <c r="B224" s="2"/>
      <c r="C224" s="2"/>
      <c r="D224" s="2"/>
      <c r="E224" s="3"/>
      <c r="F224" s="3"/>
      <c r="G224" s="2" t="str">
        <f ca="1">IF(F224="","",F224-TODAY())</f>
        <v/>
      </c>
      <c r="H224" s="2"/>
      <c r="I224" s="2"/>
    </row>
    <row r="225" spans="1:9">
      <c r="A225" s="2"/>
      <c r="B225" s="2"/>
      <c r="C225" s="2"/>
      <c r="D225" s="2"/>
      <c r="E225" s="3"/>
      <c r="F225" s="3"/>
      <c r="G225" s="2" t="str">
        <f ca="1">IF(F225="","",F225-TODAY())</f>
        <v/>
      </c>
      <c r="H225" s="2"/>
      <c r="I225" s="2"/>
    </row>
    <row r="226" spans="1:9">
      <c r="A226" s="2"/>
      <c r="B226" s="2"/>
      <c r="C226" s="2"/>
      <c r="D226" s="2"/>
      <c r="E226" s="3"/>
      <c r="F226" s="3"/>
      <c r="G226" s="2" t="str">
        <f ca="1">IF(F226="","",F226-TODAY())</f>
        <v/>
      </c>
      <c r="H226" s="2"/>
      <c r="I226" s="2"/>
    </row>
    <row r="227" spans="1:9">
      <c r="A227" s="2"/>
      <c r="B227" s="2"/>
      <c r="C227" s="2"/>
      <c r="D227" s="2"/>
      <c r="E227" s="3"/>
      <c r="F227" s="3"/>
      <c r="G227" s="2" t="str">
        <f ca="1">IF(F227="","",F227-TODAY())</f>
        <v/>
      </c>
      <c r="H227" s="2"/>
      <c r="I227" s="2"/>
    </row>
    <row r="228" spans="1:9">
      <c r="A228" s="2"/>
      <c r="B228" s="2"/>
      <c r="C228" s="2"/>
      <c r="D228" s="2"/>
      <c r="E228" s="3"/>
      <c r="F228" s="3"/>
      <c r="G228" s="2" t="str">
        <f ca="1">IF(F228="","",F228-TODAY())</f>
        <v/>
      </c>
      <c r="H228" s="2"/>
      <c r="I228" s="2"/>
    </row>
    <row r="229" spans="1:9">
      <c r="A229" s="2"/>
      <c r="B229" s="2"/>
      <c r="C229" s="2"/>
      <c r="D229" s="2"/>
      <c r="E229" s="3"/>
      <c r="F229" s="3"/>
      <c r="G229" s="2" t="str">
        <f ca="1">IF(F229="","",F229-TODAY())</f>
        <v/>
      </c>
      <c r="H229" s="2"/>
      <c r="I229" s="2"/>
    </row>
    <row r="230" spans="1:9">
      <c r="A230" s="2"/>
      <c r="B230" s="2"/>
      <c r="C230" s="2"/>
      <c r="D230" s="2"/>
      <c r="E230" s="3"/>
      <c r="F230" s="3"/>
      <c r="G230" s="2" t="str">
        <f ca="1">IF(F230="","",F230-TODAY())</f>
        <v/>
      </c>
      <c r="H230" s="2"/>
      <c r="I230" s="2"/>
    </row>
    <row r="231" spans="1:9">
      <c r="A231" s="2"/>
      <c r="B231" s="2"/>
      <c r="C231" s="2"/>
      <c r="D231" s="2"/>
      <c r="E231" s="3"/>
      <c r="F231" s="3"/>
      <c r="G231" s="2" t="str">
        <f ca="1">IF(F231="","",F231-TODAY())</f>
        <v/>
      </c>
      <c r="H231" s="2"/>
      <c r="I231" s="2"/>
    </row>
    <row r="232" spans="1:9">
      <c r="A232" s="2"/>
      <c r="B232" s="2"/>
      <c r="C232" s="2"/>
      <c r="D232" s="2"/>
      <c r="E232" s="3"/>
      <c r="F232" s="3"/>
      <c r="G232" s="2" t="str">
        <f ca="1">IF(F232="","",F232-TODAY())</f>
        <v/>
      </c>
      <c r="H232" s="2"/>
      <c r="I232" s="2"/>
    </row>
    <row r="233" spans="1:9">
      <c r="A233" s="2"/>
      <c r="B233" s="2"/>
      <c r="C233" s="2"/>
      <c r="D233" s="2"/>
      <c r="E233" s="3"/>
      <c r="F233" s="3"/>
      <c r="G233" s="2" t="str">
        <f ca="1">IF(F233="","",F233-TODAY())</f>
        <v/>
      </c>
      <c r="H233" s="2"/>
      <c r="I233" s="2"/>
    </row>
    <row r="234" spans="1:9">
      <c r="A234" s="2"/>
      <c r="B234" s="2"/>
      <c r="C234" s="2"/>
      <c r="D234" s="2"/>
      <c r="E234" s="3"/>
      <c r="F234" s="3"/>
      <c r="G234" s="2" t="str">
        <f ca="1">IF(F234="","",F234-TODAY())</f>
        <v/>
      </c>
      <c r="H234" s="2"/>
      <c r="I234" s="2"/>
    </row>
    <row r="235" spans="1:9">
      <c r="A235" s="2"/>
      <c r="B235" s="2"/>
      <c r="C235" s="2"/>
      <c r="D235" s="2"/>
      <c r="E235" s="3"/>
      <c r="F235" s="3"/>
      <c r="G235" s="2" t="str">
        <f ca="1">IF(F235="","",F235-TODAY())</f>
        <v/>
      </c>
      <c r="H235" s="2"/>
      <c r="I235" s="2"/>
    </row>
    <row r="236" spans="1:9">
      <c r="A236" s="2"/>
      <c r="B236" s="2"/>
      <c r="C236" s="2"/>
      <c r="D236" s="2"/>
      <c r="E236" s="3"/>
      <c r="F236" s="3"/>
      <c r="G236" s="2" t="str">
        <f ca="1">IF(F236="","",F236-TODAY())</f>
        <v/>
      </c>
      <c r="H236" s="2"/>
      <c r="I236" s="2"/>
    </row>
    <row r="237" spans="1:9">
      <c r="A237" s="2"/>
      <c r="B237" s="2"/>
      <c r="C237" s="2"/>
      <c r="D237" s="2"/>
      <c r="E237" s="3"/>
      <c r="F237" s="3"/>
      <c r="G237" s="2" t="str">
        <f ca="1">IF(F237="","",F237-TODAY())</f>
        <v/>
      </c>
      <c r="H237" s="2"/>
      <c r="I237" s="2"/>
    </row>
    <row r="238" spans="1:9">
      <c r="A238" s="2"/>
      <c r="B238" s="2"/>
      <c r="C238" s="2"/>
      <c r="D238" s="2"/>
      <c r="E238" s="3"/>
      <c r="F238" s="3"/>
      <c r="G238" s="2" t="str">
        <f ca="1">IF(F238="","",F238-TODAY())</f>
        <v/>
      </c>
      <c r="H238" s="2"/>
      <c r="I238" s="2"/>
    </row>
    <row r="239" spans="1:9">
      <c r="A239" s="2"/>
      <c r="B239" s="2"/>
      <c r="C239" s="2"/>
      <c r="D239" s="2"/>
      <c r="E239" s="3"/>
      <c r="F239" s="3"/>
      <c r="G239" s="2" t="str">
        <f ca="1">IF(F239="","",F239-TODAY())</f>
        <v/>
      </c>
      <c r="H239" s="2"/>
      <c r="I239" s="2"/>
    </row>
    <row r="240" spans="1:9">
      <c r="A240" s="2"/>
      <c r="B240" s="2"/>
      <c r="C240" s="2"/>
      <c r="D240" s="2"/>
      <c r="E240" s="3"/>
      <c r="F240" s="3"/>
      <c r="G240" s="2" t="str">
        <f ca="1">IF(F240="","",F240-TODAY())</f>
        <v/>
      </c>
      <c r="H240" s="2"/>
      <c r="I240" s="2"/>
    </row>
    <row r="241" spans="1:9">
      <c r="A241" s="2"/>
      <c r="B241" s="2"/>
      <c r="C241" s="2"/>
      <c r="D241" s="2"/>
      <c r="E241" s="3"/>
      <c r="F241" s="3"/>
      <c r="G241" s="2" t="str">
        <f ca="1">IF(F241="","",F241-TODAY())</f>
        <v/>
      </c>
      <c r="H241" s="2"/>
      <c r="I241" s="2"/>
    </row>
    <row r="242" spans="1:9">
      <c r="A242" s="2"/>
      <c r="B242" s="2"/>
      <c r="C242" s="2"/>
      <c r="D242" s="2"/>
      <c r="E242" s="3"/>
      <c r="F242" s="3"/>
      <c r="G242" s="2" t="str">
        <f ca="1">IF(F242="","",F242-TODAY())</f>
        <v/>
      </c>
      <c r="H242" s="2"/>
      <c r="I242" s="2"/>
    </row>
    <row r="243" spans="1:9">
      <c r="A243" s="2"/>
      <c r="B243" s="2"/>
      <c r="C243" s="2"/>
      <c r="D243" s="2"/>
      <c r="E243" s="3"/>
      <c r="F243" s="3"/>
      <c r="G243" s="2" t="str">
        <f ca="1">IF(F243="","",F243-TODAY())</f>
        <v/>
      </c>
      <c r="H243" s="2"/>
      <c r="I243" s="2"/>
    </row>
    <row r="244" spans="1:9">
      <c r="A244" s="2"/>
      <c r="B244" s="2"/>
      <c r="C244" s="2"/>
      <c r="D244" s="2"/>
      <c r="E244" s="3"/>
      <c r="F244" s="3"/>
      <c r="G244" s="2" t="str">
        <f ca="1">IF(F244="","",F244-TODAY())</f>
        <v/>
      </c>
      <c r="H244" s="2"/>
      <c r="I244" s="2"/>
    </row>
    <row r="245" spans="1:9">
      <c r="A245" s="2"/>
      <c r="B245" s="2"/>
      <c r="C245" s="2"/>
      <c r="D245" s="2"/>
      <c r="E245" s="3"/>
      <c r="F245" s="3"/>
      <c r="G245" s="2" t="str">
        <f ca="1">IF(F245="","",F245-TODAY())</f>
        <v/>
      </c>
      <c r="H245" s="2"/>
      <c r="I245" s="2"/>
    </row>
    <row r="246" spans="1:9">
      <c r="A246" s="2"/>
      <c r="B246" s="2"/>
      <c r="C246" s="2"/>
      <c r="D246" s="2"/>
      <c r="E246" s="3"/>
      <c r="F246" s="3"/>
      <c r="G246" s="2" t="str">
        <f ca="1">IF(F246="","",F246-TODAY())</f>
        <v/>
      </c>
      <c r="H246" s="2"/>
      <c r="I246" s="2"/>
    </row>
    <row r="247" spans="1:9">
      <c r="A247" s="2"/>
      <c r="B247" s="2"/>
      <c r="C247" s="2"/>
      <c r="D247" s="2"/>
      <c r="E247" s="3"/>
      <c r="F247" s="3"/>
      <c r="G247" s="2" t="str">
        <f ca="1">IF(F247="","",F247-TODAY())</f>
        <v/>
      </c>
      <c r="H247" s="2"/>
      <c r="I247" s="2"/>
    </row>
    <row r="248" spans="1:9">
      <c r="A248" s="2"/>
      <c r="B248" s="2"/>
      <c r="C248" s="2"/>
      <c r="D248" s="2"/>
      <c r="E248" s="3"/>
      <c r="F248" s="3"/>
      <c r="G248" s="2" t="str">
        <f ca="1">IF(F248="","",F248-TODAY())</f>
        <v/>
      </c>
      <c r="H248" s="2"/>
      <c r="I248" s="2"/>
    </row>
    <row r="249" spans="1:9">
      <c r="A249" s="2"/>
      <c r="B249" s="2"/>
      <c r="C249" s="2"/>
      <c r="D249" s="2"/>
      <c r="E249" s="3"/>
      <c r="F249" s="3"/>
      <c r="G249" s="2" t="str">
        <f ca="1">IF(F249="","",F249-TODAY())</f>
        <v/>
      </c>
      <c r="H249" s="2"/>
      <c r="I249" s="2"/>
    </row>
    <row r="250" spans="1:9">
      <c r="A250" s="2"/>
      <c r="B250" s="2"/>
      <c r="C250" s="2"/>
      <c r="D250" s="2"/>
      <c r="E250" s="3"/>
      <c r="F250" s="3"/>
      <c r="G250" s="2" t="str">
        <f ca="1">IF(F250="","",F250-TODAY())</f>
        <v/>
      </c>
      <c r="H250" s="2"/>
      <c r="I250" s="2"/>
    </row>
    <row r="251" spans="1:9">
      <c r="A251" s="2"/>
      <c r="B251" s="2"/>
      <c r="C251" s="2"/>
      <c r="D251" s="2"/>
      <c r="E251" s="3"/>
      <c r="F251" s="3"/>
      <c r="G251" s="2" t="str">
        <f ca="1">IF(F251="","",F251-TODAY())</f>
        <v/>
      </c>
      <c r="H251" s="2"/>
      <c r="I251" s="2"/>
    </row>
    <row r="252" spans="1:9">
      <c r="A252" s="2"/>
      <c r="B252" s="2"/>
      <c r="C252" s="2"/>
      <c r="D252" s="2"/>
      <c r="E252" s="3"/>
      <c r="F252" s="3"/>
      <c r="G252" s="2" t="str">
        <f ca="1">IF(F252="","",F252-TODAY())</f>
        <v/>
      </c>
      <c r="H252" s="2"/>
      <c r="I252" s="2"/>
    </row>
    <row r="253" spans="1:9">
      <c r="A253" s="2"/>
      <c r="B253" s="2"/>
      <c r="C253" s="2"/>
      <c r="D253" s="2"/>
      <c r="E253" s="3"/>
      <c r="F253" s="3"/>
      <c r="G253" s="2" t="str">
        <f ca="1">IF(F253="","",F253-TODAY())</f>
        <v/>
      </c>
      <c r="H253" s="2"/>
      <c r="I253" s="2"/>
    </row>
    <row r="254" spans="1:9">
      <c r="A254" s="2"/>
      <c r="B254" s="2"/>
      <c r="C254" s="2"/>
      <c r="D254" s="2"/>
      <c r="E254" s="3"/>
      <c r="F254" s="3"/>
      <c r="G254" s="2" t="str">
        <f ca="1">IF(F254="","",F254-TODAY())</f>
        <v/>
      </c>
      <c r="H254" s="2"/>
      <c r="I254" s="2"/>
    </row>
    <row r="255" spans="1:9">
      <c r="A255" s="2"/>
      <c r="B255" s="2"/>
      <c r="C255" s="2"/>
      <c r="D255" s="2"/>
      <c r="E255" s="3"/>
      <c r="F255" s="3"/>
      <c r="G255" s="2" t="str">
        <f ca="1">IF(F255="","",F255-TODAY())</f>
        <v/>
      </c>
      <c r="H255" s="2"/>
      <c r="I255" s="2"/>
    </row>
    <row r="256" spans="1:9">
      <c r="A256" s="2"/>
      <c r="B256" s="2"/>
      <c r="C256" s="2"/>
      <c r="D256" s="2"/>
      <c r="E256" s="3"/>
      <c r="F256" s="3"/>
      <c r="G256" s="2" t="str">
        <f ca="1">IF(F256="","",F256-TODAY())</f>
        <v/>
      </c>
      <c r="H256" s="2"/>
      <c r="I256" s="2"/>
    </row>
    <row r="257" spans="1:9">
      <c r="A257" s="2"/>
      <c r="B257" s="2"/>
      <c r="C257" s="2"/>
      <c r="D257" s="2"/>
      <c r="E257" s="3"/>
      <c r="F257" s="3"/>
      <c r="G257" s="2" t="str">
        <f ca="1">IF(F257="","",F257-TODAY())</f>
        <v/>
      </c>
      <c r="H257" s="2"/>
      <c r="I257" s="2"/>
    </row>
    <row r="258" spans="1:9">
      <c r="A258" s="2"/>
      <c r="B258" s="2"/>
      <c r="C258" s="2"/>
      <c r="D258" s="2"/>
      <c r="E258" s="3"/>
      <c r="F258" s="3"/>
      <c r="G258" s="2" t="str">
        <f ca="1">IF(F258="","",F258-TODAY())</f>
        <v/>
      </c>
      <c r="H258" s="2"/>
      <c r="I258" s="2"/>
    </row>
    <row r="259" spans="1:9">
      <c r="A259" s="2"/>
      <c r="B259" s="2"/>
      <c r="C259" s="2"/>
      <c r="D259" s="2"/>
      <c r="E259" s="3"/>
      <c r="F259" s="3"/>
      <c r="G259" s="2" t="str">
        <f ca="1">IF(F259="","",F259-TODAY())</f>
        <v/>
      </c>
      <c r="H259" s="2"/>
      <c r="I259" s="2"/>
    </row>
    <row r="260" spans="1:9">
      <c r="A260" s="2"/>
      <c r="B260" s="2"/>
      <c r="C260" s="2"/>
      <c r="D260" s="2"/>
      <c r="E260" s="3"/>
      <c r="F260" s="3"/>
      <c r="G260" s="2" t="str">
        <f ca="1">IF(F260="","",F260-TODAY())</f>
        <v/>
      </c>
      <c r="H260" s="2"/>
      <c r="I260" s="2"/>
    </row>
    <row r="261" spans="1:9">
      <c r="A261" s="2"/>
      <c r="B261" s="2"/>
      <c r="C261" s="2"/>
      <c r="D261" s="2"/>
      <c r="E261" s="3"/>
      <c r="F261" s="3"/>
      <c r="G261" s="2" t="str">
        <f ca="1">IF(F261="","",F261-TODAY())</f>
        <v/>
      </c>
      <c r="H261" s="2"/>
      <c r="I261" s="2"/>
    </row>
    <row r="262" spans="1:9">
      <c r="A262" s="2"/>
      <c r="B262" s="2"/>
      <c r="C262" s="2"/>
      <c r="D262" s="2"/>
      <c r="E262" s="3"/>
      <c r="F262" s="3"/>
      <c r="G262" s="2" t="str">
        <f ca="1">IF(F262="","",F262-TODAY())</f>
        <v/>
      </c>
      <c r="H262" s="2"/>
      <c r="I262" s="2"/>
    </row>
    <row r="263" spans="1:9">
      <c r="A263" s="2"/>
      <c r="B263" s="2"/>
      <c r="C263" s="2"/>
      <c r="D263" s="2"/>
      <c r="E263" s="3"/>
      <c r="F263" s="3"/>
      <c r="G263" s="2" t="str">
        <f ca="1">IF(F263="","",F263-TODAY())</f>
        <v/>
      </c>
      <c r="H263" s="2"/>
      <c r="I263" s="2"/>
    </row>
    <row r="264" spans="1:9">
      <c r="A264" s="2"/>
      <c r="B264" s="2"/>
      <c r="C264" s="2"/>
      <c r="D264" s="2"/>
      <c r="E264" s="3"/>
      <c r="F264" s="3"/>
      <c r="G264" s="2" t="str">
        <f ca="1">IF(F264="","",F264-TODAY())</f>
        <v/>
      </c>
      <c r="H264" s="2"/>
      <c r="I264" s="2"/>
    </row>
    <row r="265" spans="1:9">
      <c r="A265" s="2"/>
      <c r="B265" s="2"/>
      <c r="C265" s="2"/>
      <c r="D265" s="2"/>
      <c r="E265" s="3"/>
      <c r="F265" s="3"/>
      <c r="G265" s="2" t="str">
        <f ca="1">IF(F265="","",F265-TODAY())</f>
        <v/>
      </c>
      <c r="H265" s="2"/>
      <c r="I265" s="2"/>
    </row>
    <row r="266" spans="1:9">
      <c r="A266" s="2"/>
      <c r="B266" s="2"/>
      <c r="C266" s="2"/>
      <c r="D266" s="2"/>
      <c r="E266" s="3"/>
      <c r="F266" s="3"/>
      <c r="G266" s="2" t="str">
        <f ca="1">IF(F266="","",F266-TODAY())</f>
        <v/>
      </c>
      <c r="H266" s="2"/>
      <c r="I266" s="2"/>
    </row>
    <row r="267" spans="1:9">
      <c r="A267" s="2"/>
      <c r="B267" s="2"/>
      <c r="C267" s="2"/>
      <c r="D267" s="2"/>
      <c r="E267" s="3"/>
      <c r="F267" s="3"/>
      <c r="G267" s="2" t="str">
        <f ca="1">IF(F267="","",F267-TODAY())</f>
        <v/>
      </c>
      <c r="H267" s="2"/>
      <c r="I267" s="2"/>
    </row>
    <row r="268" spans="1:9">
      <c r="A268" s="2"/>
      <c r="B268" s="2"/>
      <c r="C268" s="2"/>
      <c r="D268" s="2"/>
      <c r="E268" s="3"/>
      <c r="F268" s="3"/>
      <c r="G268" s="2" t="str">
        <f ca="1">IF(F268="","",F268-TODAY())</f>
        <v/>
      </c>
      <c r="H268" s="2"/>
      <c r="I268" s="2"/>
    </row>
    <row r="269" spans="1:9">
      <c r="A269" s="2"/>
      <c r="B269" s="2"/>
      <c r="C269" s="2"/>
      <c r="D269" s="2"/>
      <c r="E269" s="3"/>
      <c r="F269" s="3"/>
      <c r="G269" s="2" t="str">
        <f ca="1">IF(F269="","",F269-TODAY())</f>
        <v/>
      </c>
      <c r="H269" s="2"/>
      <c r="I269" s="2"/>
    </row>
    <row r="270" spans="1:9">
      <c r="A270" s="2"/>
      <c r="B270" s="2"/>
      <c r="C270" s="2"/>
      <c r="D270" s="2"/>
      <c r="E270" s="3"/>
      <c r="F270" s="3"/>
      <c r="G270" s="2" t="str">
        <f ca="1">IF(F270="","",F270-TODAY())</f>
        <v/>
      </c>
      <c r="H270" s="2"/>
      <c r="I270" s="2"/>
    </row>
    <row r="271" spans="1:9">
      <c r="A271" s="2"/>
      <c r="B271" s="2"/>
      <c r="C271" s="2"/>
      <c r="D271" s="2"/>
      <c r="E271" s="3"/>
      <c r="F271" s="3"/>
      <c r="G271" s="2" t="str">
        <f ca="1">IF(F271="","",F271-TODAY())</f>
        <v/>
      </c>
      <c r="H271" s="2"/>
      <c r="I271" s="2"/>
    </row>
    <row r="272" spans="1:9">
      <c r="A272" s="2"/>
      <c r="B272" s="2"/>
      <c r="C272" s="2"/>
      <c r="D272" s="2"/>
      <c r="E272" s="3"/>
      <c r="F272" s="3"/>
      <c r="G272" s="2" t="str">
        <f ca="1">IF(F272="","",F272-TODAY())</f>
        <v/>
      </c>
      <c r="H272" s="2"/>
      <c r="I272" s="2"/>
    </row>
    <row r="273" spans="1:9">
      <c r="A273" s="2"/>
      <c r="B273" s="2"/>
      <c r="C273" s="2"/>
      <c r="D273" s="2"/>
      <c r="E273" s="3"/>
      <c r="F273" s="3"/>
      <c r="G273" s="2" t="str">
        <f ca="1">IF(F273="","",F273-TODAY())</f>
        <v/>
      </c>
      <c r="H273" s="2"/>
      <c r="I273" s="2"/>
    </row>
    <row r="274" spans="1:9">
      <c r="A274" s="2"/>
      <c r="B274" s="2"/>
      <c r="C274" s="2"/>
      <c r="D274" s="2"/>
      <c r="E274" s="3"/>
      <c r="F274" s="3"/>
      <c r="G274" s="2" t="str">
        <f ca="1">IF(F274="","",F274-TODAY())</f>
        <v/>
      </c>
      <c r="H274" s="2"/>
      <c r="I274" s="2"/>
    </row>
    <row r="275" spans="1:9">
      <c r="A275" s="2"/>
      <c r="B275" s="2"/>
      <c r="C275" s="2"/>
      <c r="D275" s="2"/>
      <c r="E275" s="3"/>
      <c r="F275" s="3"/>
      <c r="G275" s="2" t="str">
        <f ca="1">IF(F275="","",F275-TODAY())</f>
        <v/>
      </c>
      <c r="H275" s="2"/>
      <c r="I275" s="2"/>
    </row>
    <row r="276" spans="1:9">
      <c r="A276" s="2"/>
      <c r="B276" s="2"/>
      <c r="C276" s="2"/>
      <c r="D276" s="2"/>
      <c r="E276" s="3"/>
      <c r="F276" s="3"/>
      <c r="G276" s="2" t="str">
        <f ca="1">IF(F276="","",F276-TODAY())</f>
        <v/>
      </c>
      <c r="H276" s="2"/>
      <c r="I276" s="2"/>
    </row>
    <row r="277" spans="1:9">
      <c r="A277" s="2"/>
      <c r="B277" s="2"/>
      <c r="C277" s="2"/>
      <c r="D277" s="2"/>
      <c r="E277" s="3"/>
      <c r="F277" s="3"/>
      <c r="G277" s="2" t="str">
        <f ca="1">IF(F277="","",F277-TODAY())</f>
        <v/>
      </c>
      <c r="H277" s="2"/>
      <c r="I277" s="2"/>
    </row>
    <row r="278" spans="1:9">
      <c r="A278" s="2"/>
      <c r="B278" s="2"/>
      <c r="C278" s="2"/>
      <c r="D278" s="2"/>
      <c r="E278" s="3"/>
      <c r="F278" s="3"/>
      <c r="G278" s="2" t="str">
        <f ca="1">IF(F278="","",F278-TODAY())</f>
        <v/>
      </c>
      <c r="H278" s="2"/>
      <c r="I278" s="2"/>
    </row>
    <row r="279" spans="1:9">
      <c r="A279" s="2"/>
      <c r="B279" s="2"/>
      <c r="C279" s="2"/>
      <c r="D279" s="2"/>
      <c r="E279" s="3"/>
      <c r="F279" s="3"/>
      <c r="G279" s="2" t="str">
        <f ca="1">IF(F279="","",F279-TODAY())</f>
        <v/>
      </c>
      <c r="H279" s="2"/>
      <c r="I279" s="2"/>
    </row>
    <row r="280" spans="1:9">
      <c r="A280" s="2"/>
      <c r="B280" s="2"/>
      <c r="C280" s="2"/>
      <c r="D280" s="2"/>
      <c r="E280" s="3"/>
      <c r="F280" s="3"/>
      <c r="G280" s="2" t="str">
        <f ca="1">IF(F280="","",F280-TODAY())</f>
        <v/>
      </c>
      <c r="H280" s="2"/>
      <c r="I280" s="2"/>
    </row>
    <row r="281" spans="1:9">
      <c r="A281" s="2"/>
      <c r="B281" s="2"/>
      <c r="C281" s="2"/>
      <c r="D281" s="2"/>
      <c r="E281" s="3"/>
      <c r="F281" s="3"/>
      <c r="G281" s="2" t="str">
        <f ca="1">IF(F281="","",F281-TODAY())</f>
        <v/>
      </c>
      <c r="H281" s="2"/>
      <c r="I281" s="2"/>
    </row>
    <row r="282" spans="1:9">
      <c r="A282" s="2"/>
      <c r="B282" s="2"/>
      <c r="C282" s="2"/>
      <c r="D282" s="2"/>
      <c r="E282" s="3"/>
      <c r="F282" s="3"/>
      <c r="G282" s="2" t="str">
        <f ca="1">IF(F282="","",F282-TODAY())</f>
        <v/>
      </c>
      <c r="H282" s="2"/>
      <c r="I282" s="2"/>
    </row>
    <row r="283" spans="1:9">
      <c r="A283" s="2"/>
      <c r="B283" s="2"/>
      <c r="C283" s="2"/>
      <c r="D283" s="2"/>
      <c r="E283" s="3"/>
      <c r="F283" s="3"/>
      <c r="G283" s="2" t="str">
        <f ca="1">IF(F283="","",F283-TODAY())</f>
        <v/>
      </c>
      <c r="H283" s="2"/>
      <c r="I283" s="2"/>
    </row>
    <row r="284" spans="1:9">
      <c r="A284" s="2"/>
      <c r="B284" s="2"/>
      <c r="C284" s="2"/>
      <c r="D284" s="2"/>
      <c r="E284" s="3"/>
      <c r="F284" s="3"/>
      <c r="G284" s="2" t="str">
        <f ca="1">IF(F284="","",F284-TODAY())</f>
        <v/>
      </c>
      <c r="H284" s="2"/>
      <c r="I284" s="2"/>
    </row>
    <row r="285" spans="1:9">
      <c r="A285" s="2"/>
      <c r="B285" s="2"/>
      <c r="C285" s="2"/>
      <c r="D285" s="2"/>
      <c r="E285" s="3"/>
      <c r="F285" s="3"/>
      <c r="G285" s="2" t="str">
        <f ca="1">IF(F285="","",F285-TODAY())</f>
        <v/>
      </c>
      <c r="H285" s="2"/>
      <c r="I285" s="2"/>
    </row>
    <row r="286" spans="1:9">
      <c r="A286" s="2"/>
      <c r="B286" s="2"/>
      <c r="C286" s="2"/>
      <c r="D286" s="2"/>
      <c r="E286" s="3"/>
      <c r="F286" s="3"/>
      <c r="G286" s="2" t="str">
        <f ca="1">IF(F286="","",F286-TODAY())</f>
        <v/>
      </c>
      <c r="H286" s="2"/>
      <c r="I286" s="2"/>
    </row>
    <row r="287" spans="1:9">
      <c r="A287" s="2"/>
      <c r="B287" s="2"/>
      <c r="C287" s="2"/>
      <c r="D287" s="2"/>
      <c r="E287" s="3"/>
      <c r="F287" s="3"/>
      <c r="G287" s="2" t="str">
        <f ca="1">IF(F287="","",F287-TODAY())</f>
        <v/>
      </c>
      <c r="H287" s="2"/>
      <c r="I287" s="2"/>
    </row>
    <row r="288" spans="1:9">
      <c r="A288" s="2"/>
      <c r="B288" s="2"/>
      <c r="C288" s="2"/>
      <c r="D288" s="2"/>
      <c r="E288" s="3"/>
      <c r="F288" s="3"/>
      <c r="G288" s="2" t="str">
        <f ca="1">IF(F288="","",F288-TODAY())</f>
        <v/>
      </c>
      <c r="H288" s="2"/>
      <c r="I288" s="2"/>
    </row>
    <row r="289" spans="1:9">
      <c r="A289" s="2"/>
      <c r="B289" s="2"/>
      <c r="C289" s="2"/>
      <c r="D289" s="2"/>
      <c r="E289" s="3"/>
      <c r="F289" s="3"/>
      <c r="G289" s="2" t="str">
        <f ca="1">IF(F289="","",F289-TODAY())</f>
        <v/>
      </c>
      <c r="H289" s="2"/>
      <c r="I289" s="2"/>
    </row>
    <row r="290" spans="1:9">
      <c r="A290" s="2"/>
      <c r="B290" s="2"/>
      <c r="C290" s="2"/>
      <c r="D290" s="2"/>
      <c r="E290" s="3"/>
      <c r="F290" s="3"/>
      <c r="G290" s="2" t="str">
        <f ca="1">IF(F290="","",F290-TODAY())</f>
        <v/>
      </c>
      <c r="H290" s="2"/>
      <c r="I290" s="2"/>
    </row>
    <row r="291" spans="1:9">
      <c r="A291" s="2"/>
      <c r="B291" s="2"/>
      <c r="C291" s="2"/>
      <c r="D291" s="2"/>
      <c r="E291" s="3"/>
      <c r="F291" s="3"/>
      <c r="G291" s="2" t="str">
        <f ca="1">IF(F291="","",F291-TODAY())</f>
        <v/>
      </c>
      <c r="H291" s="2"/>
      <c r="I291" s="2"/>
    </row>
    <row r="292" spans="1:9">
      <c r="A292" s="2"/>
      <c r="B292" s="2"/>
      <c r="C292" s="2"/>
      <c r="D292" s="2"/>
      <c r="E292" s="3"/>
      <c r="F292" s="3"/>
      <c r="G292" s="2" t="str">
        <f ca="1">IF(F292="","",F292-TODAY())</f>
        <v/>
      </c>
      <c r="H292" s="2"/>
      <c r="I292" s="2"/>
    </row>
    <row r="293" spans="1:9">
      <c r="A293" s="2"/>
      <c r="B293" s="2"/>
      <c r="C293" s="2"/>
      <c r="D293" s="2"/>
      <c r="E293" s="3"/>
      <c r="F293" s="3"/>
      <c r="G293" s="2" t="str">
        <f ca="1">IF(F293="","",F293-TODAY())</f>
        <v/>
      </c>
      <c r="H293" s="2"/>
      <c r="I293" s="2"/>
    </row>
    <row r="294" spans="1:9">
      <c r="A294" s="2"/>
      <c r="B294" s="2"/>
      <c r="C294" s="2"/>
      <c r="D294" s="2"/>
      <c r="E294" s="3"/>
      <c r="F294" s="3"/>
      <c r="G294" s="2" t="str">
        <f ca="1">IF(F294="","",F294-TODAY())</f>
        <v/>
      </c>
      <c r="H294" s="2"/>
      <c r="I294" s="2"/>
    </row>
    <row r="295" spans="1:9">
      <c r="A295" s="2"/>
      <c r="B295" s="2"/>
      <c r="C295" s="2"/>
      <c r="D295" s="2"/>
      <c r="E295" s="3"/>
      <c r="F295" s="3"/>
      <c r="G295" s="2" t="str">
        <f ca="1">IF(F295="","",F295-TODAY())</f>
        <v/>
      </c>
      <c r="H295" s="2"/>
      <c r="I295" s="2"/>
    </row>
    <row r="296" spans="1:9">
      <c r="A296" s="2"/>
      <c r="B296" s="2"/>
      <c r="C296" s="2"/>
      <c r="D296" s="2"/>
      <c r="E296" s="3"/>
      <c r="F296" s="3"/>
      <c r="G296" s="2" t="str">
        <f ca="1">IF(F296="","",F296-TODAY())</f>
        <v/>
      </c>
      <c r="H296" s="2"/>
      <c r="I296" s="2"/>
    </row>
    <row r="297" spans="1:9">
      <c r="A297" s="2"/>
      <c r="B297" s="2"/>
      <c r="C297" s="2"/>
      <c r="D297" s="2"/>
      <c r="E297" s="3"/>
      <c r="F297" s="3"/>
      <c r="G297" s="2" t="str">
        <f ca="1">IF(F297="","",F297-TODAY())</f>
        <v/>
      </c>
      <c r="H297" s="2"/>
      <c r="I297" s="2"/>
    </row>
    <row r="298" spans="1:9">
      <c r="A298" s="2"/>
      <c r="B298" s="2"/>
      <c r="C298" s="2"/>
      <c r="D298" s="2"/>
      <c r="E298" s="3"/>
      <c r="F298" s="3"/>
      <c r="G298" s="2" t="str">
        <f ca="1">IF(F298="","",F298-TODAY())</f>
        <v/>
      </c>
      <c r="H298" s="2"/>
      <c r="I298" s="2"/>
    </row>
    <row r="299" spans="1:9">
      <c r="A299" s="2"/>
      <c r="B299" s="2"/>
      <c r="C299" s="2"/>
      <c r="D299" s="2"/>
      <c r="E299" s="3"/>
      <c r="F299" s="3"/>
      <c r="G299" s="2" t="str">
        <f ca="1">IF(F299="","",F299-TODAY())</f>
        <v/>
      </c>
      <c r="H299" s="2"/>
      <c r="I299" s="2"/>
    </row>
    <row r="300" spans="1:9">
      <c r="A300" s="2"/>
      <c r="B300" s="2"/>
      <c r="C300" s="2"/>
      <c r="D300" s="2"/>
      <c r="E300" s="3"/>
      <c r="F300" s="3"/>
      <c r="G300" s="2" t="str">
        <f ca="1">IF(F300="","",F300-TODAY())</f>
        <v/>
      </c>
      <c r="H300" s="2"/>
      <c r="I300" s="2"/>
    </row>
    <row r="301" spans="1:9">
      <c r="A301" s="2"/>
      <c r="B301" s="2"/>
      <c r="C301" s="2"/>
      <c r="D301" s="2"/>
      <c r="E301" s="3"/>
      <c r="F301" s="3"/>
      <c r="G301" s="2" t="str">
        <f ca="1">IF(F301="","",F301-TODAY())</f>
        <v/>
      </c>
      <c r="H301" s="2"/>
      <c r="I301" s="2"/>
    </row>
    <row r="302" spans="1:9">
      <c r="A302" s="2"/>
      <c r="B302" s="2"/>
      <c r="C302" s="2"/>
      <c r="D302" s="2"/>
      <c r="E302" s="3"/>
      <c r="F302" s="3"/>
      <c r="G302" s="2" t="str">
        <f ca="1">IF(F302="","",F302-TODAY())</f>
        <v/>
      </c>
      <c r="H302" s="2"/>
      <c r="I302" s="2"/>
    </row>
    <row r="303" spans="1:9">
      <c r="A303" s="2"/>
      <c r="B303" s="2"/>
      <c r="C303" s="2"/>
      <c r="D303" s="2"/>
      <c r="E303" s="3"/>
      <c r="F303" s="3"/>
      <c r="G303" s="2" t="str">
        <f ca="1">IF(F303="","",F303-TODAY())</f>
        <v/>
      </c>
      <c r="H303" s="2"/>
      <c r="I303" s="2"/>
    </row>
    <row r="304" spans="1:9">
      <c r="A304" s="2"/>
      <c r="B304" s="2"/>
      <c r="C304" s="2"/>
      <c r="D304" s="2"/>
      <c r="E304" s="3"/>
      <c r="F304" s="3"/>
      <c r="G304" s="2" t="str">
        <f ca="1">IF(F304="","",F304-TODAY())</f>
        <v/>
      </c>
      <c r="H304" s="2"/>
      <c r="I304" s="2"/>
    </row>
    <row r="305" spans="1:9">
      <c r="A305" s="2"/>
      <c r="B305" s="2"/>
      <c r="C305" s="2"/>
      <c r="D305" s="2"/>
      <c r="E305" s="3"/>
      <c r="F305" s="3"/>
      <c r="G305" s="2" t="str">
        <f ca="1">IF(F305="","",F305-TODAY())</f>
        <v/>
      </c>
      <c r="H305" s="2"/>
      <c r="I305" s="2"/>
    </row>
    <row r="306" spans="1:9">
      <c r="A306" s="2"/>
      <c r="B306" s="2"/>
      <c r="C306" s="2"/>
      <c r="D306" s="2"/>
      <c r="E306" s="3"/>
      <c r="F306" s="3"/>
      <c r="G306" s="2" t="str">
        <f ca="1">IF(F306="","",F306-TODAY())</f>
        <v/>
      </c>
      <c r="H306" s="2"/>
      <c r="I306" s="2"/>
    </row>
    <row r="307" spans="1:9">
      <c r="A307" s="2"/>
      <c r="B307" s="2"/>
      <c r="C307" s="2"/>
      <c r="D307" s="2"/>
      <c r="E307" s="3"/>
      <c r="F307" s="3"/>
      <c r="G307" s="2" t="str">
        <f ca="1">IF(F307="","",F307-TODAY())</f>
        <v/>
      </c>
      <c r="H307" s="2"/>
      <c r="I307" s="2"/>
    </row>
    <row r="308" spans="1:9">
      <c r="A308" s="2"/>
      <c r="B308" s="2"/>
      <c r="C308" s="2"/>
      <c r="D308" s="2"/>
      <c r="E308" s="3"/>
      <c r="F308" s="3"/>
      <c r="G308" s="2" t="str">
        <f ca="1">IF(F308="","",F308-TODAY())</f>
        <v/>
      </c>
      <c r="H308" s="2"/>
      <c r="I308" s="2"/>
    </row>
    <row r="309" spans="1:9">
      <c r="A309" s="2"/>
      <c r="B309" s="2"/>
      <c r="C309" s="2"/>
      <c r="D309" s="2"/>
      <c r="E309" s="3"/>
      <c r="F309" s="3"/>
      <c r="G309" s="2" t="str">
        <f ca="1">IF(F309="","",F309-TODAY())</f>
        <v/>
      </c>
      <c r="H309" s="2"/>
      <c r="I309" s="2"/>
    </row>
    <row r="310" spans="1:9">
      <c r="A310" s="2"/>
      <c r="B310" s="2"/>
      <c r="C310" s="2"/>
      <c r="D310" s="2"/>
      <c r="E310" s="3"/>
      <c r="F310" s="3"/>
      <c r="G310" s="2" t="str">
        <f ca="1">IF(F310="","",F310-TODAY())</f>
        <v/>
      </c>
      <c r="H310" s="2"/>
      <c r="I310" s="2"/>
    </row>
    <row r="311" spans="1:9">
      <c r="A311" s="2"/>
      <c r="B311" s="2"/>
      <c r="C311" s="2"/>
      <c r="D311" s="2"/>
      <c r="E311" s="3"/>
      <c r="F311" s="3"/>
      <c r="G311" s="2" t="str">
        <f ca="1">IF(F311="","",F311-TODAY())</f>
        <v/>
      </c>
      <c r="H311" s="2"/>
      <c r="I311" s="2"/>
    </row>
    <row r="312" spans="1:9">
      <c r="A312" s="2"/>
      <c r="B312" s="2"/>
      <c r="C312" s="2"/>
      <c r="D312" s="2"/>
      <c r="E312" s="3"/>
      <c r="F312" s="3"/>
      <c r="G312" s="2" t="str">
        <f ca="1">IF(F312="","",F312-TODAY())</f>
        <v/>
      </c>
      <c r="H312" s="2"/>
      <c r="I312" s="2"/>
    </row>
    <row r="313" spans="1:9">
      <c r="A313" s="2"/>
      <c r="B313" s="2"/>
      <c r="C313" s="2"/>
      <c r="D313" s="2"/>
      <c r="E313" s="3"/>
      <c r="F313" s="3"/>
      <c r="G313" s="2" t="str">
        <f ca="1">IF(F313="","",F313-TODAY())</f>
        <v/>
      </c>
      <c r="H313" s="2"/>
      <c r="I313" s="2"/>
    </row>
    <row r="314" spans="1:9">
      <c r="A314" s="2"/>
      <c r="B314" s="2"/>
      <c r="C314" s="2"/>
      <c r="D314" s="2"/>
      <c r="E314" s="3"/>
      <c r="F314" s="3"/>
      <c r="G314" s="2" t="str">
        <f ca="1">IF(F314="","",F314-TODAY())</f>
        <v/>
      </c>
      <c r="H314" s="2"/>
      <c r="I314" s="2"/>
    </row>
    <row r="315" spans="1:9">
      <c r="A315" s="2"/>
      <c r="B315" s="2"/>
      <c r="C315" s="2"/>
      <c r="D315" s="2"/>
      <c r="E315" s="3"/>
      <c r="F315" s="3"/>
      <c r="G315" s="2" t="str">
        <f ca="1">IF(F315="","",F315-TODAY())</f>
        <v/>
      </c>
      <c r="H315" s="2"/>
      <c r="I315" s="2"/>
    </row>
    <row r="316" spans="1:9">
      <c r="A316" s="2"/>
      <c r="B316" s="2"/>
      <c r="C316" s="2"/>
      <c r="D316" s="2"/>
      <c r="E316" s="3"/>
      <c r="F316" s="3"/>
      <c r="G316" s="2" t="str">
        <f ca="1">IF(F316="","",F316-TODAY())</f>
        <v/>
      </c>
      <c r="H316" s="2"/>
      <c r="I316" s="2"/>
    </row>
    <row r="317" spans="1:9">
      <c r="A317" s="2"/>
      <c r="B317" s="2"/>
      <c r="C317" s="2"/>
      <c r="D317" s="2"/>
      <c r="E317" s="3"/>
      <c r="F317" s="3"/>
      <c r="G317" s="2" t="str">
        <f ca="1">IF(F317="","",F317-TODAY())</f>
        <v/>
      </c>
      <c r="H317" s="2"/>
      <c r="I317" s="2"/>
    </row>
    <row r="318" spans="1:9">
      <c r="A318" s="2"/>
      <c r="B318" s="2"/>
      <c r="C318" s="2"/>
      <c r="D318" s="2"/>
      <c r="E318" s="3"/>
      <c r="F318" s="3"/>
      <c r="G318" s="2" t="str">
        <f ca="1">IF(F318="","",F318-TODAY())</f>
        <v/>
      </c>
      <c r="H318" s="2"/>
      <c r="I318" s="2"/>
    </row>
    <row r="319" spans="1:9">
      <c r="A319" s="2"/>
      <c r="B319" s="2"/>
      <c r="C319" s="2"/>
      <c r="D319" s="2"/>
      <c r="E319" s="3"/>
      <c r="F319" s="3"/>
      <c r="G319" s="2" t="str">
        <f ca="1">IF(F319="","",F319-TODAY())</f>
        <v/>
      </c>
      <c r="H319" s="2"/>
      <c r="I319" s="2"/>
    </row>
    <row r="320" spans="1:9">
      <c r="A320" s="2"/>
      <c r="B320" s="2"/>
      <c r="C320" s="2"/>
      <c r="D320" s="2"/>
      <c r="E320" s="3"/>
      <c r="F320" s="3"/>
      <c r="G320" s="2" t="str">
        <f ca="1">IF(F320="","",F320-TODAY())</f>
        <v/>
      </c>
      <c r="H320" s="2"/>
      <c r="I320" s="2"/>
    </row>
    <row r="321" spans="1:9">
      <c r="A321" s="2"/>
      <c r="B321" s="2"/>
      <c r="C321" s="2"/>
      <c r="D321" s="2"/>
      <c r="E321" s="3"/>
      <c r="F321" s="3"/>
      <c r="G321" s="2" t="str">
        <f ca="1">IF(F321="","",F321-TODAY())</f>
        <v/>
      </c>
      <c r="H321" s="2"/>
      <c r="I321" s="2"/>
    </row>
    <row r="322" spans="1:9">
      <c r="A322" s="2"/>
      <c r="B322" s="2"/>
      <c r="C322" s="2"/>
      <c r="D322" s="2"/>
      <c r="E322" s="3"/>
      <c r="F322" s="3"/>
      <c r="G322" s="2" t="str">
        <f ca="1">IF(F322="","",F322-TODAY())</f>
        <v/>
      </c>
      <c r="H322" s="2"/>
      <c r="I322" s="2"/>
    </row>
    <row r="323" spans="1:9">
      <c r="A323" s="2"/>
      <c r="B323" s="2"/>
      <c r="C323" s="2"/>
      <c r="D323" s="2"/>
      <c r="E323" s="3"/>
      <c r="F323" s="3"/>
      <c r="G323" s="2" t="str">
        <f ca="1">IF(F323="","",F323-TODAY())</f>
        <v/>
      </c>
      <c r="H323" s="2"/>
      <c r="I323" s="2"/>
    </row>
    <row r="324" spans="1:9">
      <c r="A324" s="2"/>
      <c r="B324" s="2"/>
      <c r="C324" s="2"/>
      <c r="D324" s="2"/>
      <c r="E324" s="3"/>
      <c r="F324" s="3"/>
      <c r="G324" s="2" t="str">
        <f ca="1">IF(F324="","",F324-TODAY())</f>
        <v/>
      </c>
      <c r="H324" s="2"/>
      <c r="I324" s="2"/>
    </row>
    <row r="325" spans="1:9">
      <c r="A325" s="2"/>
      <c r="B325" s="2"/>
      <c r="C325" s="2"/>
      <c r="D325" s="2"/>
      <c r="E325" s="3"/>
      <c r="F325" s="3"/>
      <c r="G325" s="2" t="str">
        <f ca="1">IF(F325="","",F325-TODAY())</f>
        <v/>
      </c>
      <c r="H325" s="2"/>
      <c r="I325" s="2"/>
    </row>
    <row r="326" spans="1:9">
      <c r="A326" s="2"/>
      <c r="B326" s="2"/>
      <c r="C326" s="2"/>
      <c r="D326" s="2"/>
      <c r="E326" s="3"/>
      <c r="F326" s="3"/>
      <c r="G326" s="2" t="str">
        <f ca="1">IF(F326="","",F326-TODAY())</f>
        <v/>
      </c>
      <c r="H326" s="2"/>
      <c r="I326" s="2"/>
    </row>
    <row r="327" spans="1:9">
      <c r="A327" s="2"/>
      <c r="B327" s="2"/>
      <c r="C327" s="2"/>
      <c r="D327" s="2"/>
      <c r="E327" s="3"/>
      <c r="F327" s="3"/>
      <c r="G327" s="2" t="str">
        <f ca="1">IF(F327="","",F327-TODAY())</f>
        <v/>
      </c>
      <c r="H327" s="2"/>
      <c r="I327" s="2"/>
    </row>
    <row r="328" spans="1:9">
      <c r="A328" s="2"/>
      <c r="B328" s="2"/>
      <c r="C328" s="2"/>
      <c r="D328" s="2"/>
      <c r="E328" s="3"/>
      <c r="F328" s="3"/>
      <c r="G328" s="2" t="str">
        <f ca="1">IF(F328="","",F328-TODAY())</f>
        <v/>
      </c>
      <c r="H328" s="2"/>
      <c r="I328" s="2"/>
    </row>
    <row r="329" spans="1:9">
      <c r="A329" s="2"/>
      <c r="B329" s="2"/>
      <c r="C329" s="2"/>
      <c r="D329" s="2"/>
      <c r="E329" s="3"/>
      <c r="F329" s="3"/>
      <c r="G329" s="2" t="str">
        <f ca="1">IF(F329="","",F329-TODAY())</f>
        <v/>
      </c>
      <c r="H329" s="2"/>
      <c r="I329" s="2"/>
    </row>
    <row r="330" spans="1:9">
      <c r="A330" s="2"/>
      <c r="B330" s="2"/>
      <c r="C330" s="2"/>
      <c r="D330" s="2"/>
      <c r="E330" s="3"/>
      <c r="F330" s="3"/>
      <c r="G330" s="2" t="str">
        <f ca="1">IF(F330="","",F330-TODAY())</f>
        <v/>
      </c>
      <c r="H330" s="2"/>
      <c r="I330" s="2"/>
    </row>
    <row r="331" spans="1:9">
      <c r="A331" s="2"/>
      <c r="B331" s="2"/>
      <c r="C331" s="2"/>
      <c r="D331" s="2"/>
      <c r="E331" s="3"/>
      <c r="F331" s="3"/>
      <c r="G331" s="2" t="str">
        <f ca="1">IF(F331="","",F331-TODAY())</f>
        <v/>
      </c>
      <c r="H331" s="2"/>
      <c r="I331" s="2"/>
    </row>
    <row r="332" spans="1:9">
      <c r="A332" s="2"/>
      <c r="B332" s="2"/>
      <c r="C332" s="2"/>
      <c r="D332" s="2"/>
      <c r="E332" s="3"/>
      <c r="F332" s="3"/>
      <c r="G332" s="2" t="str">
        <f ca="1">IF(F332="","",F332-TODAY())</f>
        <v/>
      </c>
      <c r="H332" s="2"/>
      <c r="I332" s="2"/>
    </row>
    <row r="333" spans="1:9">
      <c r="A333" s="2"/>
      <c r="B333" s="2"/>
      <c r="C333" s="2"/>
      <c r="D333" s="2"/>
      <c r="E333" s="3"/>
      <c r="F333" s="3"/>
      <c r="G333" s="2" t="str">
        <f ca="1">IF(F333="","",F333-TODAY())</f>
        <v/>
      </c>
      <c r="H333" s="2"/>
      <c r="I333" s="2"/>
    </row>
    <row r="334" spans="1:9">
      <c r="A334" s="2"/>
      <c r="B334" s="2"/>
      <c r="C334" s="2"/>
      <c r="D334" s="2"/>
      <c r="E334" s="3"/>
      <c r="F334" s="3"/>
      <c r="G334" s="2" t="str">
        <f ca="1">IF(F334="","",F334-TODAY())</f>
        <v/>
      </c>
      <c r="H334" s="2"/>
      <c r="I334" s="2"/>
    </row>
    <row r="335" spans="1:9">
      <c r="A335" s="2"/>
      <c r="B335" s="2"/>
      <c r="C335" s="2"/>
      <c r="D335" s="2"/>
      <c r="E335" s="3"/>
      <c r="F335" s="3"/>
      <c r="G335" s="2" t="str">
        <f ca="1">IF(F335="","",F335-TODAY())</f>
        <v/>
      </c>
      <c r="H335" s="2"/>
      <c r="I335" s="2"/>
    </row>
    <row r="336" spans="1:9">
      <c r="A336" s="2"/>
      <c r="B336" s="2"/>
      <c r="C336" s="2"/>
      <c r="D336" s="2"/>
      <c r="E336" s="3"/>
      <c r="F336" s="3"/>
      <c r="G336" s="2" t="str">
        <f ca="1">IF(F336="","",F336-TODAY())</f>
        <v/>
      </c>
      <c r="H336" s="2"/>
      <c r="I336" s="2"/>
    </row>
    <row r="337" spans="1:9">
      <c r="A337" s="2"/>
      <c r="B337" s="2"/>
      <c r="C337" s="2"/>
      <c r="D337" s="2"/>
      <c r="E337" s="3"/>
      <c r="F337" s="3"/>
      <c r="G337" s="2" t="str">
        <f ca="1">IF(F337="","",F337-TODAY())</f>
        <v/>
      </c>
      <c r="H337" s="2"/>
      <c r="I337" s="2"/>
    </row>
    <row r="338" spans="1:9">
      <c r="A338" s="2"/>
      <c r="B338" s="2"/>
      <c r="C338" s="2"/>
      <c r="D338" s="2"/>
      <c r="E338" s="3"/>
      <c r="F338" s="3"/>
      <c r="G338" s="2" t="str">
        <f ca="1">IF(F338="","",F338-TODAY())</f>
        <v/>
      </c>
      <c r="H338" s="2"/>
      <c r="I338" s="2"/>
    </row>
    <row r="339" spans="1:9">
      <c r="A339" s="2"/>
      <c r="B339" s="2"/>
      <c r="C339" s="2"/>
      <c r="D339" s="2"/>
      <c r="E339" s="3"/>
      <c r="F339" s="3"/>
      <c r="G339" s="2" t="str">
        <f ca="1">IF(F339="","",F339-TODAY())</f>
        <v/>
      </c>
      <c r="H339" s="2"/>
      <c r="I339" s="2"/>
    </row>
    <row r="340" spans="1:9">
      <c r="A340" s="2"/>
      <c r="B340" s="2"/>
      <c r="C340" s="2"/>
      <c r="D340" s="2"/>
      <c r="E340" s="3"/>
      <c r="F340" s="3"/>
      <c r="G340" s="2" t="str">
        <f ca="1">IF(F340="","",F340-TODAY())</f>
        <v/>
      </c>
      <c r="H340" s="2"/>
      <c r="I340" s="2"/>
    </row>
    <row r="341" spans="1:9">
      <c r="A341" s="2"/>
      <c r="B341" s="2"/>
      <c r="C341" s="2"/>
      <c r="D341" s="2"/>
      <c r="E341" s="3"/>
      <c r="F341" s="3"/>
      <c r="G341" s="2" t="str">
        <f ca="1">IF(F341="","",F341-TODAY())</f>
        <v/>
      </c>
      <c r="H341" s="2"/>
      <c r="I341" s="2"/>
    </row>
    <row r="342" spans="1:9">
      <c r="A342" s="2"/>
      <c r="B342" s="2"/>
      <c r="C342" s="2"/>
      <c r="D342" s="2"/>
      <c r="E342" s="3"/>
      <c r="F342" s="3"/>
      <c r="G342" s="2" t="str">
        <f ca="1">IF(F342="","",F342-TODAY())</f>
        <v/>
      </c>
      <c r="H342" s="2"/>
      <c r="I342" s="2"/>
    </row>
    <row r="343" spans="1:9">
      <c r="A343" s="2"/>
      <c r="B343" s="2"/>
      <c r="C343" s="2"/>
      <c r="D343" s="2"/>
      <c r="E343" s="3"/>
      <c r="F343" s="3"/>
      <c r="G343" s="2" t="str">
        <f ca="1">IF(F343="","",F343-TODAY())</f>
        <v/>
      </c>
      <c r="H343" s="2"/>
      <c r="I343" s="2"/>
    </row>
    <row r="344" spans="1:9">
      <c r="A344" s="2"/>
      <c r="B344" s="2"/>
      <c r="C344" s="2"/>
      <c r="D344" s="2"/>
      <c r="E344" s="3"/>
      <c r="F344" s="3"/>
      <c r="G344" s="2" t="str">
        <f ca="1">IF(F344="","",F344-TODAY())</f>
        <v/>
      </c>
      <c r="H344" s="2"/>
      <c r="I344" s="2"/>
    </row>
    <row r="345" spans="1:9">
      <c r="A345" s="2"/>
      <c r="B345" s="2"/>
      <c r="C345" s="2"/>
      <c r="D345" s="2"/>
      <c r="E345" s="3"/>
      <c r="F345" s="3"/>
      <c r="G345" s="2" t="str">
        <f ca="1">IF(F345="","",F345-TODAY())</f>
        <v/>
      </c>
      <c r="H345" s="2"/>
      <c r="I345" s="2"/>
    </row>
    <row r="346" spans="1:9">
      <c r="A346" s="2"/>
      <c r="B346" s="2"/>
      <c r="C346" s="2"/>
      <c r="D346" s="2"/>
      <c r="E346" s="3"/>
      <c r="F346" s="3"/>
      <c r="G346" s="2" t="str">
        <f ca="1">IF(F346="","",F346-TODAY())</f>
        <v/>
      </c>
      <c r="H346" s="2"/>
      <c r="I346" s="2"/>
    </row>
    <row r="347" spans="1:9">
      <c r="A347" s="2"/>
      <c r="B347" s="2"/>
      <c r="C347" s="2"/>
      <c r="D347" s="2"/>
      <c r="E347" s="3"/>
      <c r="F347" s="3"/>
      <c r="G347" s="2" t="str">
        <f ca="1">IF(F347="","",F347-TODAY())</f>
        <v/>
      </c>
      <c r="H347" s="2"/>
      <c r="I347" s="2"/>
    </row>
    <row r="348" spans="1:9">
      <c r="A348" s="2"/>
      <c r="B348" s="2"/>
      <c r="C348" s="2"/>
      <c r="D348" s="2"/>
      <c r="E348" s="3"/>
      <c r="F348" s="3"/>
      <c r="G348" s="2" t="str">
        <f ca="1">IF(F348="","",F348-TODAY())</f>
        <v/>
      </c>
      <c r="H348" s="2"/>
      <c r="I348" s="2"/>
    </row>
    <row r="349" spans="1:9">
      <c r="A349" s="2"/>
      <c r="B349" s="2"/>
      <c r="C349" s="2"/>
      <c r="D349" s="2"/>
      <c r="E349" s="3"/>
      <c r="F349" s="3"/>
      <c r="G349" s="2" t="str">
        <f ca="1">IF(F349="","",F349-TODAY())</f>
        <v/>
      </c>
      <c r="H349" s="2"/>
      <c r="I349" s="2"/>
    </row>
    <row r="350" spans="1:9">
      <c r="A350" s="2"/>
      <c r="B350" s="2"/>
      <c r="C350" s="2"/>
      <c r="D350" s="2"/>
      <c r="E350" s="3"/>
      <c r="F350" s="3"/>
      <c r="G350" s="2" t="str">
        <f ca="1">IF(F350="","",F350-TODAY())</f>
        <v/>
      </c>
      <c r="H350" s="2"/>
      <c r="I350" s="2"/>
    </row>
    <row r="351" spans="1:9">
      <c r="A351" s="2"/>
      <c r="B351" s="2"/>
      <c r="C351" s="2"/>
      <c r="D351" s="2"/>
      <c r="E351" s="3"/>
      <c r="F351" s="3"/>
      <c r="G351" s="2" t="str">
        <f ca="1">IF(F351="","",F351-TODAY())</f>
        <v/>
      </c>
      <c r="H351" s="2"/>
      <c r="I351" s="2"/>
    </row>
    <row r="352" spans="1:9">
      <c r="A352" s="2"/>
      <c r="B352" s="2"/>
      <c r="C352" s="2"/>
      <c r="D352" s="2"/>
      <c r="E352" s="3"/>
      <c r="F352" s="3"/>
      <c r="G352" s="2" t="str">
        <f ca="1">IF(F352="","",F352-TODAY())</f>
        <v/>
      </c>
      <c r="H352" s="2"/>
      <c r="I352" s="2"/>
    </row>
    <row r="353" spans="1:9">
      <c r="A353" s="2"/>
      <c r="B353" s="2"/>
      <c r="C353" s="2"/>
      <c r="D353" s="2"/>
      <c r="E353" s="3"/>
      <c r="F353" s="3"/>
      <c r="G353" s="2" t="str">
        <f ca="1">IF(F353="","",F353-TODAY())</f>
        <v/>
      </c>
      <c r="H353" s="2"/>
      <c r="I353" s="2"/>
    </row>
    <row r="354" spans="1:9">
      <c r="A354" s="2"/>
      <c r="B354" s="2"/>
      <c r="C354" s="2"/>
      <c r="D354" s="2"/>
      <c r="E354" s="3"/>
      <c r="F354" s="3"/>
      <c r="G354" s="2" t="str">
        <f ca="1">IF(F354="","",F354-TODAY())</f>
        <v/>
      </c>
      <c r="H354" s="2"/>
      <c r="I354" s="2"/>
    </row>
    <row r="355" spans="1:9">
      <c r="A355" s="2"/>
      <c r="B355" s="2"/>
      <c r="C355" s="2"/>
      <c r="D355" s="2"/>
      <c r="E355" s="3"/>
      <c r="F355" s="3"/>
      <c r="G355" s="2" t="str">
        <f ca="1">IF(F355="","",F355-TODAY())</f>
        <v/>
      </c>
      <c r="H355" s="2"/>
      <c r="I355" s="2"/>
    </row>
    <row r="356" spans="1:9">
      <c r="A356" s="2"/>
      <c r="B356" s="2"/>
      <c r="C356" s="2"/>
      <c r="D356" s="2"/>
      <c r="E356" s="3"/>
      <c r="F356" s="3"/>
      <c r="G356" s="2" t="str">
        <f ca="1">IF(F356="","",F356-TODAY())</f>
        <v/>
      </c>
      <c r="H356" s="2"/>
      <c r="I356" s="2"/>
    </row>
    <row r="357" spans="1:9">
      <c r="A357" s="2"/>
      <c r="B357" s="2"/>
      <c r="C357" s="2"/>
      <c r="D357" s="2"/>
      <c r="E357" s="3"/>
      <c r="F357" s="3"/>
      <c r="G357" s="2" t="str">
        <f ca="1">IF(F357="","",F357-TODAY())</f>
        <v/>
      </c>
      <c r="H357" s="2"/>
      <c r="I357" s="2"/>
    </row>
    <row r="358" spans="1:9">
      <c r="A358" s="2"/>
      <c r="B358" s="2"/>
      <c r="C358" s="2"/>
      <c r="D358" s="2"/>
      <c r="E358" s="3"/>
      <c r="F358" s="3"/>
      <c r="G358" s="2" t="str">
        <f ca="1">IF(F358="","",F358-TODAY())</f>
        <v/>
      </c>
      <c r="H358" s="2"/>
      <c r="I358" s="2"/>
    </row>
    <row r="359" spans="1:9">
      <c r="A359" s="2"/>
      <c r="B359" s="2"/>
      <c r="C359" s="2"/>
      <c r="D359" s="2"/>
      <c r="E359" s="3"/>
      <c r="F359" s="3"/>
      <c r="G359" s="2" t="str">
        <f ca="1">IF(F359="","",F359-TODAY())</f>
        <v/>
      </c>
      <c r="H359" s="2"/>
      <c r="I359" s="2"/>
    </row>
    <row r="360" spans="1:9">
      <c r="A360" s="2"/>
      <c r="B360" s="2"/>
      <c r="C360" s="2"/>
      <c r="D360" s="2"/>
      <c r="E360" s="3"/>
      <c r="F360" s="3"/>
      <c r="G360" s="2" t="str">
        <f ca="1">IF(F360="","",F360-TODAY())</f>
        <v/>
      </c>
      <c r="H360" s="2"/>
      <c r="I360" s="2"/>
    </row>
    <row r="361" spans="1:9">
      <c r="A361" s="2"/>
      <c r="B361" s="2"/>
      <c r="C361" s="2"/>
      <c r="D361" s="2"/>
      <c r="E361" s="3"/>
      <c r="F361" s="3"/>
      <c r="G361" s="2" t="str">
        <f ca="1">IF(F361="","",F361-TODAY())</f>
        <v/>
      </c>
      <c r="H361" s="2"/>
      <c r="I361" s="2"/>
    </row>
    <row r="362" spans="1:9">
      <c r="A362" s="2"/>
      <c r="B362" s="2"/>
      <c r="C362" s="2"/>
      <c r="D362" s="2"/>
      <c r="E362" s="3"/>
      <c r="F362" s="3"/>
      <c r="G362" s="2" t="str">
        <f ca="1">IF(F362="","",F362-TODAY())</f>
        <v/>
      </c>
      <c r="H362" s="2"/>
      <c r="I362" s="2"/>
    </row>
    <row r="363" spans="1:9">
      <c r="A363" s="2"/>
      <c r="B363" s="2"/>
      <c r="C363" s="2"/>
      <c r="D363" s="2"/>
      <c r="E363" s="3"/>
      <c r="F363" s="3"/>
      <c r="G363" s="2" t="str">
        <f ca="1">IF(F363="","",F363-TODAY())</f>
        <v/>
      </c>
      <c r="H363" s="2"/>
      <c r="I363" s="2"/>
    </row>
    <row r="364" spans="1:9">
      <c r="A364" s="2"/>
      <c r="B364" s="2"/>
      <c r="C364" s="2"/>
      <c r="D364" s="2"/>
      <c r="E364" s="3"/>
      <c r="F364" s="3"/>
      <c r="G364" s="2" t="str">
        <f ca="1">IF(F364="","",F364-TODAY())</f>
        <v/>
      </c>
      <c r="H364" s="2"/>
      <c r="I364" s="2"/>
    </row>
    <row r="365" spans="1:9">
      <c r="A365" s="2"/>
      <c r="B365" s="2"/>
      <c r="C365" s="2"/>
      <c r="D365" s="2"/>
      <c r="E365" s="3"/>
      <c r="F365" s="3"/>
      <c r="G365" s="2" t="str">
        <f ca="1">IF(F365="","",F365-TODAY())</f>
        <v/>
      </c>
      <c r="H365" s="2"/>
      <c r="I365" s="2"/>
    </row>
    <row r="366" spans="1:9">
      <c r="A366" s="2"/>
      <c r="B366" s="2"/>
      <c r="C366" s="2"/>
      <c r="D366" s="2"/>
      <c r="E366" s="3"/>
      <c r="F366" s="3"/>
      <c r="G366" s="2" t="str">
        <f ca="1">IF(F366="","",F366-TODAY())</f>
        <v/>
      </c>
      <c r="H366" s="2"/>
      <c r="I366" s="2"/>
    </row>
    <row r="367" spans="1:9">
      <c r="A367" s="2"/>
      <c r="B367" s="2"/>
      <c r="C367" s="2"/>
      <c r="D367" s="2"/>
      <c r="E367" s="3"/>
      <c r="F367" s="3"/>
      <c r="G367" s="2" t="str">
        <f ca="1">IF(F367="","",F367-TODAY())</f>
        <v/>
      </c>
      <c r="H367" s="2"/>
      <c r="I367" s="2"/>
    </row>
    <row r="368" spans="1:9">
      <c r="A368" s="2"/>
      <c r="B368" s="2"/>
      <c r="C368" s="2"/>
      <c r="D368" s="2"/>
      <c r="E368" s="3"/>
      <c r="F368" s="3"/>
      <c r="G368" s="2" t="str">
        <f ca="1">IF(F368="","",F368-TODAY())</f>
        <v/>
      </c>
      <c r="H368" s="2"/>
      <c r="I368" s="2"/>
    </row>
    <row r="369" spans="1:9">
      <c r="A369" s="2"/>
      <c r="B369" s="2"/>
      <c r="C369" s="2"/>
      <c r="D369" s="2"/>
      <c r="E369" s="3"/>
      <c r="F369" s="3"/>
      <c r="G369" s="2" t="str">
        <f ca="1">IF(F369="","",F369-TODAY())</f>
        <v/>
      </c>
      <c r="H369" s="2"/>
      <c r="I369" s="2"/>
    </row>
    <row r="370" spans="1:9">
      <c r="A370" s="2"/>
      <c r="B370" s="2"/>
      <c r="C370" s="2"/>
      <c r="D370" s="2"/>
      <c r="E370" s="3"/>
      <c r="F370" s="3"/>
      <c r="G370" s="2" t="str">
        <f ca="1">IF(F370="","",F370-TODAY())</f>
        <v/>
      </c>
      <c r="H370" s="2"/>
      <c r="I370" s="2"/>
    </row>
    <row r="371" spans="1:9">
      <c r="A371" s="2"/>
      <c r="B371" s="2"/>
      <c r="C371" s="2"/>
      <c r="D371" s="2"/>
      <c r="E371" s="3"/>
      <c r="F371" s="3"/>
      <c r="G371" s="2" t="str">
        <f ca="1">IF(F371="","",F371-TODAY())</f>
        <v/>
      </c>
      <c r="H371" s="2"/>
      <c r="I371" s="2"/>
    </row>
    <row r="372" spans="1:9">
      <c r="A372" s="2"/>
      <c r="B372" s="2"/>
      <c r="C372" s="2"/>
      <c r="D372" s="2"/>
      <c r="E372" s="3"/>
      <c r="F372" s="3"/>
      <c r="G372" s="2" t="str">
        <f ca="1">IF(F372="","",F372-TODAY())</f>
        <v/>
      </c>
      <c r="H372" s="2"/>
      <c r="I372" s="2"/>
    </row>
    <row r="373" spans="1:9">
      <c r="A373" s="2"/>
      <c r="B373" s="2"/>
      <c r="C373" s="2"/>
      <c r="D373" s="2"/>
      <c r="E373" s="3"/>
      <c r="F373" s="3"/>
      <c r="G373" s="2" t="str">
        <f ca="1">IF(F373="","",F373-TODAY())</f>
        <v/>
      </c>
      <c r="H373" s="2"/>
      <c r="I373" s="2"/>
    </row>
    <row r="374" spans="1:9">
      <c r="A374" s="2"/>
      <c r="B374" s="2"/>
      <c r="C374" s="2"/>
      <c r="D374" s="2"/>
      <c r="E374" s="3"/>
      <c r="F374" s="3"/>
      <c r="G374" s="2" t="str">
        <f ca="1">IF(F374="","",F374-TODAY())</f>
        <v/>
      </c>
      <c r="H374" s="2"/>
      <c r="I374" s="2"/>
    </row>
    <row r="375" spans="1:9">
      <c r="A375" s="2"/>
      <c r="B375" s="2"/>
      <c r="C375" s="2"/>
      <c r="D375" s="2"/>
      <c r="E375" s="3"/>
      <c r="F375" s="3"/>
      <c r="G375" s="2" t="str">
        <f ca="1">IF(F375="","",F375-TODAY())</f>
        <v/>
      </c>
      <c r="H375" s="2"/>
      <c r="I375" s="2"/>
    </row>
    <row r="376" spans="1:9">
      <c r="A376" s="2"/>
      <c r="B376" s="2"/>
      <c r="C376" s="2"/>
      <c r="D376" s="2"/>
      <c r="E376" s="3"/>
      <c r="F376" s="3"/>
      <c r="G376" s="2" t="str">
        <f ca="1">IF(F376="","",F376-TODAY())</f>
        <v/>
      </c>
      <c r="H376" s="2"/>
      <c r="I376" s="2"/>
    </row>
    <row r="377" spans="1:9">
      <c r="A377" s="2"/>
      <c r="B377" s="2"/>
      <c r="C377" s="2"/>
      <c r="D377" s="2"/>
      <c r="E377" s="3"/>
      <c r="F377" s="3"/>
      <c r="G377" s="2" t="str">
        <f ca="1">IF(F377="","",F377-TODAY())</f>
        <v/>
      </c>
      <c r="H377" s="2"/>
      <c r="I377" s="2"/>
    </row>
    <row r="378" spans="1:9">
      <c r="A378" s="2"/>
      <c r="B378" s="2"/>
      <c r="C378" s="2"/>
      <c r="D378" s="2"/>
      <c r="E378" s="3"/>
      <c r="F378" s="3"/>
      <c r="G378" s="2" t="str">
        <f ca="1">IF(F378="","",F378-TODAY())</f>
        <v/>
      </c>
      <c r="H378" s="2"/>
      <c r="I378" s="2"/>
    </row>
    <row r="379" spans="1:9">
      <c r="A379" s="2"/>
      <c r="B379" s="2"/>
      <c r="C379" s="2"/>
      <c r="D379" s="2"/>
      <c r="E379" s="3"/>
      <c r="F379" s="3"/>
      <c r="G379" s="2" t="str">
        <f ca="1">IF(F379="","",F379-TODAY())</f>
        <v/>
      </c>
      <c r="H379" s="2"/>
      <c r="I379" s="2"/>
    </row>
    <row r="380" spans="1:9">
      <c r="A380" s="2"/>
      <c r="B380" s="2"/>
      <c r="C380" s="2"/>
      <c r="D380" s="2"/>
      <c r="E380" s="3"/>
      <c r="F380" s="3"/>
      <c r="G380" s="2" t="str">
        <f ca="1">IF(F380="","",F380-TODAY())</f>
        <v/>
      </c>
      <c r="H380" s="2"/>
      <c r="I380" s="2"/>
    </row>
    <row r="381" spans="1:9">
      <c r="A381" s="2"/>
      <c r="B381" s="2"/>
      <c r="C381" s="2"/>
      <c r="D381" s="2"/>
      <c r="E381" s="3"/>
      <c r="F381" s="3"/>
      <c r="G381" s="2" t="str">
        <f ca="1">IF(F381="","",F381-TODAY())</f>
        <v/>
      </c>
      <c r="H381" s="2"/>
      <c r="I381" s="2"/>
    </row>
    <row r="382" spans="1:9">
      <c r="A382" s="2"/>
      <c r="B382" s="2"/>
      <c r="C382" s="2"/>
      <c r="D382" s="2"/>
      <c r="E382" s="3"/>
      <c r="F382" s="3"/>
      <c r="G382" s="2" t="str">
        <f ca="1">IF(F382="","",F382-TODAY())</f>
        <v/>
      </c>
      <c r="H382" s="2"/>
      <c r="I382" s="2"/>
    </row>
    <row r="383" spans="1:9">
      <c r="A383" s="2"/>
      <c r="B383" s="2"/>
      <c r="C383" s="2"/>
      <c r="D383" s="2"/>
      <c r="E383" s="3"/>
      <c r="F383" s="3"/>
      <c r="G383" s="2" t="str">
        <f ca="1">IF(F383="","",F383-TODAY())</f>
        <v/>
      </c>
      <c r="H383" s="2"/>
      <c r="I383" s="2"/>
    </row>
    <row r="384" spans="1:9">
      <c r="A384" s="2"/>
      <c r="B384" s="2"/>
      <c r="C384" s="2"/>
      <c r="D384" s="2"/>
      <c r="E384" s="3"/>
      <c r="F384" s="3"/>
      <c r="G384" s="2" t="str">
        <f ca="1">IF(F384="","",F384-TODAY())</f>
        <v/>
      </c>
      <c r="H384" s="2"/>
      <c r="I384" s="2"/>
    </row>
    <row r="385" spans="1:9">
      <c r="A385" s="2"/>
      <c r="B385" s="2"/>
      <c r="C385" s="2"/>
      <c r="D385" s="2"/>
      <c r="E385" s="3"/>
      <c r="F385" s="3"/>
      <c r="G385" s="2" t="str">
        <f ca="1">IF(F385="","",F385-TODAY())</f>
        <v/>
      </c>
      <c r="H385" s="2"/>
      <c r="I385" s="2"/>
    </row>
    <row r="386" spans="1:9">
      <c r="A386" s="2"/>
      <c r="B386" s="2"/>
      <c r="C386" s="2"/>
      <c r="D386" s="2"/>
      <c r="E386" s="3"/>
      <c r="F386" s="3"/>
      <c r="G386" s="2" t="str">
        <f ca="1">IF(F386="","",F386-TODAY())</f>
        <v/>
      </c>
      <c r="H386" s="2"/>
      <c r="I386" s="2"/>
    </row>
    <row r="387" spans="1:9">
      <c r="A387" s="2"/>
      <c r="B387" s="2"/>
      <c r="C387" s="2"/>
      <c r="D387" s="2"/>
      <c r="E387" s="3"/>
      <c r="F387" s="3"/>
      <c r="G387" s="2" t="str">
        <f ca="1">IF(F387="","",F387-TODAY())</f>
        <v/>
      </c>
      <c r="H387" s="2"/>
      <c r="I387" s="2"/>
    </row>
    <row r="388" spans="1:9">
      <c r="A388" s="2"/>
      <c r="B388" s="2"/>
      <c r="C388" s="2"/>
      <c r="D388" s="2"/>
      <c r="E388" s="3"/>
      <c r="F388" s="3"/>
      <c r="G388" s="2" t="str">
        <f ca="1">IF(F388="","",F388-TODAY())</f>
        <v/>
      </c>
      <c r="H388" s="2"/>
      <c r="I388" s="2"/>
    </row>
    <row r="389" spans="1:9">
      <c r="A389" s="2"/>
      <c r="B389" s="2"/>
      <c r="C389" s="2"/>
      <c r="D389" s="2"/>
      <c r="E389" s="3"/>
      <c r="F389" s="3"/>
      <c r="G389" s="2" t="str">
        <f ca="1">IF(F389="","",F389-TODAY())</f>
        <v/>
      </c>
      <c r="H389" s="2"/>
      <c r="I389" s="2"/>
    </row>
    <row r="390" spans="1:9">
      <c r="A390" s="2"/>
      <c r="B390" s="2"/>
      <c r="C390" s="2"/>
      <c r="D390" s="2"/>
      <c r="E390" s="3"/>
      <c r="F390" s="3"/>
      <c r="G390" s="2" t="str">
        <f ca="1">IF(F390="","",F390-TODAY())</f>
        <v/>
      </c>
      <c r="H390" s="2"/>
      <c r="I390" s="2"/>
    </row>
    <row r="391" spans="1:9">
      <c r="A391" s="2"/>
      <c r="B391" s="2"/>
      <c r="C391" s="2"/>
      <c r="D391" s="2"/>
      <c r="E391" s="3"/>
      <c r="F391" s="3"/>
      <c r="G391" s="2" t="str">
        <f ca="1">IF(F391="","",F391-TODAY())</f>
        <v/>
      </c>
      <c r="H391" s="2"/>
      <c r="I391" s="2"/>
    </row>
    <row r="392" spans="1:9">
      <c r="A392" s="2"/>
      <c r="B392" s="2"/>
      <c r="C392" s="2"/>
      <c r="D392" s="2"/>
      <c r="E392" s="3"/>
      <c r="F392" s="3"/>
      <c r="G392" s="2" t="str">
        <f ca="1">IF(F392="","",F392-TODAY())</f>
        <v/>
      </c>
      <c r="H392" s="2"/>
      <c r="I392" s="2"/>
    </row>
    <row r="393" spans="1:9">
      <c r="A393" s="2"/>
      <c r="B393" s="2"/>
      <c r="C393" s="2"/>
      <c r="D393" s="2"/>
      <c r="E393" s="3"/>
      <c r="F393" s="3"/>
      <c r="G393" s="2" t="str">
        <f ca="1">IF(F393="","",F393-TODAY())</f>
        <v/>
      </c>
      <c r="H393" s="2"/>
      <c r="I393" s="2"/>
    </row>
    <row r="394" spans="1:9">
      <c r="A394" s="2"/>
      <c r="B394" s="2"/>
      <c r="C394" s="2"/>
      <c r="D394" s="2"/>
      <c r="E394" s="3"/>
      <c r="F394" s="3"/>
      <c r="G394" s="2" t="str">
        <f ca="1">IF(F394="","",F394-TODAY())</f>
        <v/>
      </c>
      <c r="H394" s="2"/>
      <c r="I394" s="2"/>
    </row>
    <row r="395" spans="1:9">
      <c r="A395" s="2"/>
      <c r="B395" s="2"/>
      <c r="C395" s="2"/>
      <c r="D395" s="2"/>
      <c r="E395" s="3"/>
      <c r="F395" s="3"/>
      <c r="G395" s="2" t="str">
        <f ca="1">IF(F395="","",F395-TODAY())</f>
        <v/>
      </c>
      <c r="H395" s="2"/>
      <c r="I395" s="2"/>
    </row>
    <row r="396" spans="1:9">
      <c r="A396" s="2"/>
      <c r="B396" s="2"/>
      <c r="C396" s="2"/>
      <c r="D396" s="2"/>
      <c r="E396" s="3"/>
      <c r="F396" s="3"/>
      <c r="G396" s="2" t="str">
        <f ca="1">IF(F396="","",F396-TODAY())</f>
        <v/>
      </c>
      <c r="H396" s="2"/>
      <c r="I396" s="2"/>
    </row>
    <row r="397" spans="1:9">
      <c r="A397" s="2"/>
      <c r="B397" s="2"/>
      <c r="C397" s="2"/>
      <c r="D397" s="2"/>
      <c r="E397" s="3"/>
      <c r="F397" s="3"/>
      <c r="G397" s="2" t="str">
        <f ca="1">IF(F397="","",F397-TODAY())</f>
        <v/>
      </c>
      <c r="H397" s="2"/>
      <c r="I397" s="2"/>
    </row>
    <row r="398" spans="1:9">
      <c r="A398" s="2"/>
      <c r="B398" s="2"/>
      <c r="C398" s="2"/>
      <c r="D398" s="2"/>
      <c r="E398" s="3"/>
      <c r="F398" s="3"/>
      <c r="G398" s="2" t="str">
        <f ca="1">IF(F398="","",F398-TODAY())</f>
        <v/>
      </c>
      <c r="H398" s="2"/>
      <c r="I398" s="2"/>
    </row>
    <row r="399" spans="1:9">
      <c r="A399" s="2"/>
      <c r="B399" s="2"/>
      <c r="C399" s="2"/>
      <c r="D399" s="2"/>
      <c r="E399" s="3"/>
      <c r="F399" s="3"/>
      <c r="G399" s="2" t="str">
        <f ca="1">IF(F399="","",F399-TODAY())</f>
        <v/>
      </c>
      <c r="H399" s="2"/>
      <c r="I399" s="2"/>
    </row>
    <row r="400" spans="1:9">
      <c r="A400" s="2"/>
      <c r="B400" s="2"/>
      <c r="C400" s="2"/>
      <c r="D400" s="2"/>
      <c r="E400" s="3"/>
      <c r="F400" s="3"/>
      <c r="G400" s="2" t="str">
        <f ca="1">IF(F400="","",F400-TODAY())</f>
        <v/>
      </c>
      <c r="H400" s="2"/>
      <c r="I400" s="2"/>
    </row>
    <row r="401" spans="1:9">
      <c r="A401" s="2"/>
      <c r="B401" s="2"/>
      <c r="C401" s="2"/>
      <c r="D401" s="2"/>
      <c r="E401" s="3"/>
      <c r="F401" s="3"/>
      <c r="G401" s="2" t="str">
        <f ca="1">IF(F401="","",F401-TODAY())</f>
        <v/>
      </c>
      <c r="H401" s="2"/>
      <c r="I401" s="2"/>
    </row>
    <row r="402" spans="1:9">
      <c r="A402" s="2"/>
      <c r="B402" s="2"/>
      <c r="C402" s="2"/>
      <c r="D402" s="2"/>
      <c r="E402" s="3"/>
      <c r="F402" s="3"/>
      <c r="G402" s="2" t="str">
        <f ca="1">IF(F402="","",F402-TODAY())</f>
        <v/>
      </c>
      <c r="H402" s="2"/>
      <c r="I402" s="2"/>
    </row>
    <row r="403" spans="1:9">
      <c r="A403" s="2"/>
      <c r="B403" s="2"/>
      <c r="C403" s="2"/>
      <c r="D403" s="2"/>
      <c r="E403" s="3"/>
      <c r="F403" s="3"/>
      <c r="G403" s="2" t="str">
        <f ca="1">IF(F403="","",F403-TODAY())</f>
        <v/>
      </c>
      <c r="H403" s="2"/>
      <c r="I403" s="2"/>
    </row>
    <row r="404" spans="1:9">
      <c r="A404" s="2"/>
      <c r="B404" s="2"/>
      <c r="C404" s="2"/>
      <c r="D404" s="2"/>
      <c r="E404" s="3"/>
      <c r="F404" s="3"/>
      <c r="G404" s="2" t="str">
        <f ca="1">IF(F404="","",F404-TODAY())</f>
        <v/>
      </c>
      <c r="H404" s="2"/>
      <c r="I404" s="2"/>
    </row>
    <row r="405" spans="1:9">
      <c r="A405" s="2"/>
      <c r="B405" s="2"/>
      <c r="C405" s="2"/>
      <c r="D405" s="2"/>
      <c r="E405" s="3"/>
      <c r="F405" s="3"/>
      <c r="G405" s="2" t="str">
        <f ca="1">IF(F405="","",F405-TODAY())</f>
        <v/>
      </c>
      <c r="H405" s="2"/>
      <c r="I405" s="2"/>
    </row>
    <row r="406" spans="1:9">
      <c r="A406" s="2"/>
      <c r="B406" s="2"/>
      <c r="C406" s="2"/>
      <c r="D406" s="2"/>
      <c r="E406" s="3"/>
      <c r="F406" s="3"/>
      <c r="G406" s="2" t="str">
        <f ca="1">IF(F406="","",F406-TODAY())</f>
        <v/>
      </c>
      <c r="H406" s="2"/>
      <c r="I406" s="2"/>
    </row>
    <row r="407" spans="1:9">
      <c r="A407" s="2"/>
      <c r="B407" s="2"/>
      <c r="C407" s="2"/>
      <c r="D407" s="2"/>
      <c r="E407" s="3"/>
      <c r="F407" s="3"/>
      <c r="G407" s="2" t="str">
        <f ca="1">IF(F407="","",F407-TODAY())</f>
        <v/>
      </c>
      <c r="H407" s="2"/>
      <c r="I407" s="2"/>
    </row>
    <row r="408" spans="1:9">
      <c r="A408" s="2"/>
      <c r="B408" s="2"/>
      <c r="C408" s="2"/>
      <c r="D408" s="2"/>
      <c r="E408" s="3"/>
      <c r="F408" s="3"/>
      <c r="G408" s="2" t="str">
        <f ca="1">IF(F408="","",F408-TODAY())</f>
        <v/>
      </c>
      <c r="H408" s="2"/>
      <c r="I408" s="2"/>
    </row>
    <row r="409" spans="1:9">
      <c r="A409" s="2"/>
      <c r="B409" s="2"/>
      <c r="C409" s="2"/>
      <c r="D409" s="2"/>
      <c r="E409" s="3"/>
      <c r="F409" s="3"/>
      <c r="G409" s="2" t="str">
        <f ca="1">IF(F409="","",F409-TODAY())</f>
        <v/>
      </c>
      <c r="H409" s="2"/>
      <c r="I409" s="2"/>
    </row>
    <row r="410" spans="1:9">
      <c r="A410" s="2"/>
      <c r="B410" s="2"/>
      <c r="C410" s="2"/>
      <c r="D410" s="2"/>
      <c r="E410" s="3"/>
      <c r="F410" s="3"/>
      <c r="G410" s="2" t="str">
        <f ca="1">IF(F410="","",F410-TODAY())</f>
        <v/>
      </c>
      <c r="H410" s="2"/>
      <c r="I410" s="2"/>
    </row>
    <row r="411" spans="1:9">
      <c r="A411" s="2"/>
      <c r="B411" s="2"/>
      <c r="C411" s="2"/>
      <c r="D411" s="2"/>
      <c r="E411" s="3"/>
      <c r="F411" s="3"/>
      <c r="G411" s="2" t="str">
        <f ca="1">IF(F411="","",F411-TODAY())</f>
        <v/>
      </c>
      <c r="H411" s="2"/>
      <c r="I411" s="2"/>
    </row>
    <row r="412" spans="1:9">
      <c r="A412" s="2"/>
      <c r="B412" s="2"/>
      <c r="C412" s="2"/>
      <c r="D412" s="2"/>
      <c r="E412" s="3"/>
      <c r="F412" s="3"/>
      <c r="G412" s="2" t="str">
        <f ca="1">IF(F412="","",F412-TODAY())</f>
        <v/>
      </c>
      <c r="H412" s="2"/>
      <c r="I412" s="2"/>
    </row>
    <row r="413" spans="1:9">
      <c r="A413" s="2"/>
      <c r="B413" s="2"/>
      <c r="C413" s="2"/>
      <c r="D413" s="2"/>
      <c r="E413" s="3"/>
      <c r="F413" s="3"/>
      <c r="G413" s="2" t="str">
        <f ca="1">IF(F413="","",F413-TODAY())</f>
        <v/>
      </c>
      <c r="H413" s="2"/>
      <c r="I413" s="2"/>
    </row>
    <row r="414" spans="1:9">
      <c r="A414" s="2"/>
      <c r="B414" s="2"/>
      <c r="C414" s="2"/>
      <c r="D414" s="2"/>
      <c r="E414" s="3"/>
      <c r="F414" s="3"/>
      <c r="G414" s="2" t="str">
        <f ca="1">IF(F414="","",F414-TODAY())</f>
        <v/>
      </c>
      <c r="H414" s="2"/>
      <c r="I414" s="2"/>
    </row>
    <row r="415" spans="1:9">
      <c r="A415" s="2"/>
      <c r="B415" s="2"/>
      <c r="C415" s="2"/>
      <c r="D415" s="2"/>
      <c r="E415" s="3"/>
      <c r="F415" s="3"/>
      <c r="G415" s="2" t="str">
        <f ca="1">IF(F415="","",F415-TODAY())</f>
        <v/>
      </c>
      <c r="H415" s="2"/>
      <c r="I415" s="2"/>
    </row>
    <row r="416" spans="1:9">
      <c r="A416" s="2"/>
      <c r="B416" s="2"/>
      <c r="C416" s="2"/>
      <c r="D416" s="2"/>
      <c r="E416" s="3"/>
      <c r="F416" s="3"/>
      <c r="G416" s="2" t="str">
        <f ca="1">IF(F416="","",F416-TODAY())</f>
        <v/>
      </c>
      <c r="H416" s="2"/>
      <c r="I416" s="2"/>
    </row>
    <row r="417" spans="1:9">
      <c r="A417" s="2"/>
      <c r="B417" s="2"/>
      <c r="C417" s="2"/>
      <c r="D417" s="2"/>
      <c r="E417" s="3"/>
      <c r="F417" s="3"/>
      <c r="G417" s="2" t="str">
        <f ca="1">IF(F417="","",F417-TODAY())</f>
        <v/>
      </c>
      <c r="H417" s="2"/>
      <c r="I417" s="2"/>
    </row>
    <row r="418" spans="1:9">
      <c r="A418" s="2"/>
      <c r="B418" s="2"/>
      <c r="C418" s="2"/>
      <c r="D418" s="2"/>
      <c r="E418" s="3"/>
      <c r="F418" s="3"/>
      <c r="G418" s="2" t="str">
        <f ca="1">IF(F418="","",F418-TODAY())</f>
        <v/>
      </c>
      <c r="H418" s="2"/>
      <c r="I418" s="2"/>
    </row>
    <row r="419" spans="1:9">
      <c r="A419" s="2"/>
      <c r="B419" s="2"/>
      <c r="C419" s="2"/>
      <c r="D419" s="2"/>
      <c r="E419" s="3"/>
      <c r="F419" s="3"/>
      <c r="G419" s="2" t="str">
        <f ca="1">IF(F419="","",F419-TODAY())</f>
        <v/>
      </c>
      <c r="H419" s="2"/>
      <c r="I419" s="2"/>
    </row>
    <row r="420" spans="1:9">
      <c r="A420" s="2"/>
      <c r="B420" s="2"/>
      <c r="C420" s="2"/>
      <c r="D420" s="2"/>
      <c r="E420" s="3"/>
      <c r="F420" s="3"/>
      <c r="G420" s="2" t="str">
        <f ca="1">IF(F420="","",F420-TODAY())</f>
        <v/>
      </c>
      <c r="H420" s="2"/>
      <c r="I420" s="2"/>
    </row>
    <row r="421" spans="1:9">
      <c r="A421" s="2"/>
      <c r="B421" s="2"/>
      <c r="C421" s="2"/>
      <c r="D421" s="2"/>
      <c r="E421" s="3"/>
      <c r="F421" s="3"/>
      <c r="G421" s="2" t="str">
        <f ca="1">IF(F421="","",F421-TODAY())</f>
        <v/>
      </c>
      <c r="H421" s="2"/>
      <c r="I421" s="2"/>
    </row>
    <row r="422" spans="1:9">
      <c r="A422" s="2"/>
      <c r="B422" s="2"/>
      <c r="C422" s="2"/>
      <c r="D422" s="2"/>
      <c r="E422" s="3"/>
      <c r="F422" s="3"/>
      <c r="G422" s="2" t="str">
        <f ca="1">IF(F422="","",F422-TODAY())</f>
        <v/>
      </c>
      <c r="H422" s="2"/>
      <c r="I422" s="2"/>
    </row>
    <row r="423" spans="1:9">
      <c r="A423" s="2"/>
      <c r="B423" s="2"/>
      <c r="C423" s="2"/>
      <c r="D423" s="2"/>
      <c r="E423" s="3"/>
      <c r="F423" s="3"/>
      <c r="G423" s="2" t="str">
        <f ca="1">IF(F423="","",F423-TODAY())</f>
        <v/>
      </c>
      <c r="H423" s="2"/>
      <c r="I423" s="2"/>
    </row>
    <row r="424" spans="1:9">
      <c r="A424" s="2"/>
      <c r="B424" s="2"/>
      <c r="C424" s="2"/>
      <c r="D424" s="2"/>
      <c r="E424" s="3"/>
      <c r="F424" s="3"/>
      <c r="G424" s="2" t="str">
        <f ca="1">IF(F424="","",F424-TODAY())</f>
        <v/>
      </c>
      <c r="H424" s="2"/>
      <c r="I424" s="2"/>
    </row>
    <row r="425" spans="1:9">
      <c r="A425" s="2"/>
      <c r="B425" s="2"/>
      <c r="C425" s="2"/>
      <c r="D425" s="2"/>
      <c r="E425" s="3"/>
      <c r="F425" s="3"/>
      <c r="G425" s="2" t="str">
        <f ca="1">IF(F425="","",F425-TODAY())</f>
        <v/>
      </c>
      <c r="H425" s="2"/>
      <c r="I425" s="2"/>
    </row>
    <row r="426" spans="1:9">
      <c r="A426" s="2"/>
      <c r="B426" s="2"/>
      <c r="C426" s="2"/>
      <c r="D426" s="2"/>
      <c r="E426" s="3"/>
      <c r="F426" s="3"/>
      <c r="G426" s="2" t="str">
        <f ca="1">IF(F426="","",F426-TODAY())</f>
        <v/>
      </c>
      <c r="H426" s="2"/>
      <c r="I426" s="2"/>
    </row>
    <row r="427" spans="1:9">
      <c r="A427" s="2"/>
      <c r="B427" s="2"/>
      <c r="C427" s="2"/>
      <c r="D427" s="2"/>
      <c r="E427" s="3"/>
      <c r="F427" s="3"/>
      <c r="G427" s="2" t="str">
        <f ca="1">IF(F427="","",F427-TODAY())</f>
        <v/>
      </c>
      <c r="H427" s="2"/>
      <c r="I427" s="2"/>
    </row>
    <row r="428" spans="1:9">
      <c r="A428" s="2"/>
      <c r="B428" s="2"/>
      <c r="C428" s="2"/>
      <c r="D428" s="2"/>
      <c r="E428" s="3"/>
      <c r="F428" s="3"/>
      <c r="G428" s="2" t="str">
        <f ca="1">IF(F428="","",F428-TODAY())</f>
        <v/>
      </c>
      <c r="H428" s="2"/>
      <c r="I428" s="2"/>
    </row>
    <row r="429" spans="1:9">
      <c r="A429" s="2"/>
      <c r="B429" s="2"/>
      <c r="C429" s="2"/>
      <c r="D429" s="2"/>
      <c r="E429" s="3"/>
      <c r="F429" s="3"/>
      <c r="G429" s="2" t="str">
        <f ca="1">IF(F429="","",F429-TODAY())</f>
        <v/>
      </c>
      <c r="H429" s="2"/>
      <c r="I429" s="2"/>
    </row>
    <row r="430" spans="1:9">
      <c r="A430" s="2"/>
      <c r="B430" s="2"/>
      <c r="C430" s="2"/>
      <c r="D430" s="2"/>
      <c r="E430" s="3"/>
      <c r="F430" s="3"/>
      <c r="G430" s="2" t="str">
        <f ca="1">IF(F430="","",F430-TODAY())</f>
        <v/>
      </c>
      <c r="H430" s="2"/>
      <c r="I430" s="2"/>
    </row>
    <row r="431" spans="1:9">
      <c r="A431" s="2"/>
      <c r="B431" s="2"/>
      <c r="C431" s="2"/>
      <c r="D431" s="2"/>
      <c r="E431" s="3"/>
      <c r="F431" s="3"/>
      <c r="G431" s="2" t="str">
        <f ca="1">IF(F431="","",F431-TODAY())</f>
        <v/>
      </c>
      <c r="H431" s="2"/>
      <c r="I431" s="2"/>
    </row>
    <row r="432" spans="1:9">
      <c r="A432" s="2"/>
      <c r="B432" s="2"/>
      <c r="C432" s="2"/>
      <c r="D432" s="2"/>
      <c r="E432" s="3"/>
      <c r="F432" s="3"/>
      <c r="G432" s="2" t="str">
        <f ca="1">IF(F432="","",F432-TODAY())</f>
        <v/>
      </c>
      <c r="H432" s="2"/>
      <c r="I432" s="2"/>
    </row>
    <row r="433" spans="1:9">
      <c r="A433" s="2"/>
      <c r="B433" s="2"/>
      <c r="C433" s="2"/>
      <c r="D433" s="2"/>
      <c r="E433" s="3"/>
      <c r="F433" s="3"/>
      <c r="G433" s="2" t="str">
        <f ca="1">IF(F433="","",F433-TODAY())</f>
        <v/>
      </c>
      <c r="H433" s="2"/>
      <c r="I433" s="2"/>
    </row>
    <row r="434" spans="1:9">
      <c r="A434" s="2"/>
      <c r="B434" s="2"/>
      <c r="C434" s="2"/>
      <c r="D434" s="2"/>
      <c r="E434" s="3"/>
      <c r="F434" s="3"/>
      <c r="G434" s="2" t="str">
        <f ca="1">IF(F434="","",F434-TODAY())</f>
        <v/>
      </c>
      <c r="H434" s="2"/>
      <c r="I434" s="2"/>
    </row>
    <row r="435" spans="1:9">
      <c r="A435" s="2"/>
      <c r="B435" s="2"/>
      <c r="C435" s="2"/>
      <c r="D435" s="2"/>
      <c r="E435" s="3"/>
      <c r="F435" s="3"/>
      <c r="G435" s="2" t="str">
        <f ca="1">IF(F435="","",F435-TODAY())</f>
        <v/>
      </c>
      <c r="H435" s="2"/>
      <c r="I435" s="2"/>
    </row>
    <row r="436" spans="1:9">
      <c r="A436" s="2"/>
      <c r="B436" s="2"/>
      <c r="C436" s="2"/>
      <c r="D436" s="2"/>
      <c r="E436" s="3"/>
      <c r="F436" s="3"/>
      <c r="G436" s="2" t="str">
        <f ca="1">IF(F436="","",F436-TODAY())</f>
        <v/>
      </c>
      <c r="H436" s="2"/>
      <c r="I436" s="2"/>
    </row>
    <row r="437" spans="1:9">
      <c r="A437" s="2"/>
      <c r="B437" s="2"/>
      <c r="C437" s="2"/>
      <c r="D437" s="2"/>
      <c r="E437" s="3"/>
      <c r="F437" s="3"/>
      <c r="G437" s="2" t="str">
        <f ca="1">IF(F437="","",F437-TODAY())</f>
        <v/>
      </c>
      <c r="H437" s="2"/>
      <c r="I437" s="2"/>
    </row>
    <row r="438" spans="1:9">
      <c r="A438" s="2"/>
      <c r="B438" s="2"/>
      <c r="C438" s="2"/>
      <c r="D438" s="2"/>
      <c r="E438" s="3"/>
      <c r="F438" s="3"/>
      <c r="G438" s="2" t="str">
        <f ca="1">IF(F438="","",F438-TODAY())</f>
        <v/>
      </c>
      <c r="H438" s="2"/>
      <c r="I438" s="2"/>
    </row>
    <row r="439" spans="1:9">
      <c r="A439" s="2"/>
      <c r="B439" s="2"/>
      <c r="C439" s="2"/>
      <c r="D439" s="2"/>
      <c r="E439" s="3"/>
      <c r="F439" s="3"/>
      <c r="G439" s="2" t="str">
        <f ca="1">IF(F439="","",F439-TODAY())</f>
        <v/>
      </c>
      <c r="H439" s="2"/>
      <c r="I439" s="2"/>
    </row>
    <row r="440" spans="1:9">
      <c r="A440" s="2"/>
      <c r="B440" s="2"/>
      <c r="C440" s="2"/>
      <c r="D440" s="2"/>
      <c r="E440" s="3"/>
      <c r="F440" s="3"/>
      <c r="G440" s="2" t="str">
        <f ca="1">IF(F440="","",F440-TODAY())</f>
        <v/>
      </c>
      <c r="H440" s="2"/>
      <c r="I440" s="2"/>
    </row>
    <row r="441" spans="1:9">
      <c r="A441" s="2"/>
      <c r="B441" s="2"/>
      <c r="C441" s="2"/>
      <c r="D441" s="2"/>
      <c r="E441" s="3"/>
      <c r="F441" s="3"/>
      <c r="G441" s="2" t="str">
        <f ca="1">IF(F441="","",F441-TODAY())</f>
        <v/>
      </c>
      <c r="H441" s="2"/>
      <c r="I441" s="2"/>
    </row>
    <row r="442" spans="1:9">
      <c r="A442" s="2"/>
      <c r="B442" s="2"/>
      <c r="C442" s="2"/>
      <c r="D442" s="2"/>
      <c r="E442" s="3"/>
      <c r="F442" s="3"/>
      <c r="G442" s="2" t="str">
        <f ca="1">IF(F442="","",F442-TODAY())</f>
        <v/>
      </c>
      <c r="H442" s="2"/>
      <c r="I442" s="2"/>
    </row>
    <row r="443" spans="1:9">
      <c r="A443" s="2"/>
      <c r="B443" s="2"/>
      <c r="C443" s="2"/>
      <c r="D443" s="2"/>
      <c r="E443" s="3"/>
      <c r="F443" s="3"/>
      <c r="G443" s="2" t="str">
        <f ca="1">IF(F443="","",F443-TODAY())</f>
        <v/>
      </c>
      <c r="H443" s="2"/>
      <c r="I443" s="2"/>
    </row>
    <row r="444" spans="1:9">
      <c r="A444" s="2"/>
      <c r="B444" s="2"/>
      <c r="C444" s="2"/>
      <c r="D444" s="2"/>
      <c r="E444" s="3"/>
      <c r="F444" s="3"/>
      <c r="G444" s="2" t="str">
        <f ca="1">IF(F444="","",F444-TODAY())</f>
        <v/>
      </c>
      <c r="H444" s="2"/>
      <c r="I444" s="2"/>
    </row>
    <row r="445" spans="1:9">
      <c r="A445" s="2"/>
      <c r="B445" s="2"/>
      <c r="C445" s="2"/>
      <c r="D445" s="2"/>
      <c r="E445" s="3"/>
      <c r="F445" s="3"/>
      <c r="G445" s="2" t="str">
        <f ca="1">IF(F445="","",F445-TODAY())</f>
        <v/>
      </c>
      <c r="H445" s="2"/>
      <c r="I445" s="2"/>
    </row>
    <row r="446" spans="1:9">
      <c r="A446" s="2"/>
      <c r="B446" s="2"/>
      <c r="C446" s="2"/>
      <c r="D446" s="2"/>
      <c r="E446" s="3"/>
      <c r="F446" s="3"/>
      <c r="G446" s="2" t="str">
        <f ca="1">IF(F446="","",F446-TODAY())</f>
        <v/>
      </c>
      <c r="H446" s="2"/>
      <c r="I446" s="2"/>
    </row>
    <row r="447" spans="1:9">
      <c r="A447" s="2"/>
      <c r="B447" s="2"/>
      <c r="C447" s="2"/>
      <c r="D447" s="2"/>
      <c r="E447" s="3"/>
      <c r="F447" s="3"/>
      <c r="G447" s="2" t="str">
        <f ca="1">IF(F447="","",F447-TODAY())</f>
        <v/>
      </c>
      <c r="H447" s="2"/>
      <c r="I447" s="2"/>
    </row>
    <row r="448" spans="1:9">
      <c r="A448" s="2"/>
      <c r="B448" s="2"/>
      <c r="C448" s="2"/>
      <c r="D448" s="2"/>
      <c r="E448" s="3"/>
      <c r="F448" s="3"/>
      <c r="G448" s="2" t="str">
        <f ca="1">IF(F448="","",F448-TODAY())</f>
        <v/>
      </c>
      <c r="H448" s="2"/>
      <c r="I448" s="2"/>
    </row>
    <row r="449" spans="1:9">
      <c r="A449" s="2"/>
      <c r="B449" s="2"/>
      <c r="C449" s="2"/>
      <c r="D449" s="2"/>
      <c r="E449" s="3"/>
      <c r="F449" s="3"/>
      <c r="G449" s="2" t="str">
        <f ca="1">IF(F449="","",F449-TODAY())</f>
        <v/>
      </c>
      <c r="H449" s="2"/>
      <c r="I449" s="2"/>
    </row>
    <row r="450" spans="1:9">
      <c r="A450" s="2"/>
      <c r="B450" s="2"/>
      <c r="C450" s="2"/>
      <c r="D450" s="2"/>
      <c r="E450" s="3"/>
      <c r="F450" s="3"/>
      <c r="G450" s="2" t="str">
        <f ca="1">IF(F450="","",F450-TODAY())</f>
        <v/>
      </c>
      <c r="H450" s="2"/>
      <c r="I450" s="2"/>
    </row>
    <row r="451" spans="1:9">
      <c r="A451" s="2"/>
      <c r="B451" s="2"/>
      <c r="C451" s="2"/>
      <c r="D451" s="2"/>
      <c r="E451" s="3"/>
      <c r="F451" s="3"/>
      <c r="G451" s="2" t="str">
        <f ca="1">IF(F451="","",F451-TODAY())</f>
        <v/>
      </c>
      <c r="H451" s="2"/>
      <c r="I451" s="2"/>
    </row>
    <row r="452" spans="1:9">
      <c r="A452" s="2"/>
      <c r="B452" s="2"/>
      <c r="C452" s="2"/>
      <c r="D452" s="2"/>
      <c r="E452" s="3"/>
      <c r="F452" s="3"/>
      <c r="G452" s="2" t="str">
        <f ca="1">IF(F452="","",F452-TODAY())</f>
        <v/>
      </c>
      <c r="H452" s="2"/>
      <c r="I452" s="2"/>
    </row>
    <row r="453" spans="1:9">
      <c r="A453" s="2"/>
      <c r="B453" s="2"/>
      <c r="C453" s="2"/>
      <c r="D453" s="2"/>
      <c r="E453" s="3"/>
      <c r="F453" s="3"/>
      <c r="G453" s="2" t="str">
        <f ca="1">IF(F453="","",F453-TODAY())</f>
        <v/>
      </c>
      <c r="H453" s="2"/>
      <c r="I453" s="2"/>
    </row>
    <row r="454" spans="1:9">
      <c r="A454" s="2"/>
      <c r="B454" s="2"/>
      <c r="C454" s="2"/>
      <c r="D454" s="2"/>
      <c r="E454" s="3"/>
      <c r="F454" s="3"/>
      <c r="G454" s="2" t="str">
        <f ca="1">IF(F454="","",F454-TODAY())</f>
        <v/>
      </c>
      <c r="H454" s="2"/>
      <c r="I454" s="2"/>
    </row>
    <row r="455" spans="1:9">
      <c r="A455" s="2"/>
      <c r="B455" s="2"/>
      <c r="C455" s="2"/>
      <c r="D455" s="2"/>
      <c r="E455" s="3"/>
      <c r="F455" s="3"/>
      <c r="G455" s="2" t="str">
        <f ca="1">IF(F455="","",F455-TODAY())</f>
        <v/>
      </c>
      <c r="H455" s="2"/>
      <c r="I455" s="2"/>
    </row>
    <row r="456" spans="1:9">
      <c r="A456" s="2"/>
      <c r="B456" s="2"/>
      <c r="C456" s="2"/>
      <c r="D456" s="2"/>
      <c r="E456" s="3"/>
      <c r="F456" s="3"/>
      <c r="G456" s="2" t="str">
        <f ca="1">IF(F456="","",F456-TODAY())</f>
        <v/>
      </c>
      <c r="H456" s="2"/>
      <c r="I456" s="2"/>
    </row>
    <row r="457" spans="1:9">
      <c r="A457" s="2"/>
      <c r="B457" s="2"/>
      <c r="C457" s="2"/>
      <c r="D457" s="2"/>
      <c r="E457" s="3"/>
      <c r="F457" s="3"/>
      <c r="G457" s="2" t="str">
        <f ca="1">IF(F457="","",F457-TODAY())</f>
        <v/>
      </c>
      <c r="H457" s="2"/>
      <c r="I457" s="2"/>
    </row>
    <row r="458" spans="1:9">
      <c r="A458" s="2"/>
      <c r="B458" s="2"/>
      <c r="C458" s="2"/>
      <c r="D458" s="2"/>
      <c r="E458" s="3"/>
      <c r="F458" s="3"/>
      <c r="G458" s="2" t="str">
        <f ca="1">IF(F458="","",F458-TODAY())</f>
        <v/>
      </c>
      <c r="H458" s="2"/>
      <c r="I458" s="2"/>
    </row>
    <row r="459" spans="1:9">
      <c r="A459" s="2"/>
      <c r="B459" s="2"/>
      <c r="C459" s="2"/>
      <c r="D459" s="2"/>
      <c r="E459" s="3"/>
      <c r="F459" s="3"/>
      <c r="G459" s="2" t="str">
        <f ca="1">IF(F459="","",F459-TODAY())</f>
        <v/>
      </c>
      <c r="H459" s="2"/>
      <c r="I459" s="2"/>
    </row>
    <row r="460" spans="1:9">
      <c r="A460" s="2"/>
      <c r="B460" s="2"/>
      <c r="C460" s="2"/>
      <c r="D460" s="2"/>
      <c r="E460" s="3"/>
      <c r="F460" s="3"/>
      <c r="G460" s="2" t="str">
        <f ca="1">IF(F460="","",F460-TODAY())</f>
        <v/>
      </c>
      <c r="H460" s="2"/>
      <c r="I460" s="2"/>
    </row>
    <row r="461" spans="1:9">
      <c r="A461" s="2"/>
      <c r="B461" s="2"/>
      <c r="C461" s="2"/>
      <c r="D461" s="2"/>
      <c r="E461" s="3"/>
      <c r="F461" s="3"/>
      <c r="G461" s="2" t="str">
        <f ca="1">IF(F461="","",F461-TODAY())</f>
        <v/>
      </c>
      <c r="H461" s="2"/>
      <c r="I461" s="2"/>
    </row>
    <row r="462" spans="1:9">
      <c r="A462" s="2"/>
      <c r="B462" s="2"/>
      <c r="C462" s="2"/>
      <c r="D462" s="2"/>
      <c r="E462" s="3"/>
      <c r="F462" s="3"/>
      <c r="G462" s="2" t="str">
        <f ca="1">IF(F462="","",F462-TODAY())</f>
        <v/>
      </c>
      <c r="H462" s="2"/>
      <c r="I462" s="2"/>
    </row>
    <row r="463" spans="1:9">
      <c r="A463" s="2"/>
      <c r="B463" s="2"/>
      <c r="C463" s="2"/>
      <c r="D463" s="2"/>
      <c r="E463" s="3"/>
      <c r="F463" s="3"/>
      <c r="G463" s="2" t="str">
        <f ca="1">IF(F463="","",F463-TODAY())</f>
        <v/>
      </c>
      <c r="H463" s="2"/>
      <c r="I463" s="2"/>
    </row>
    <row r="464" spans="1:9">
      <c r="A464" s="2"/>
      <c r="B464" s="2"/>
      <c r="C464" s="2"/>
      <c r="D464" s="2"/>
      <c r="E464" s="3"/>
      <c r="F464" s="3"/>
      <c r="G464" s="2" t="str">
        <f ca="1">IF(F464="","",F464-TODAY())</f>
        <v/>
      </c>
      <c r="H464" s="2"/>
      <c r="I464" s="2"/>
    </row>
    <row r="465" spans="1:9">
      <c r="A465" s="2"/>
      <c r="B465" s="2"/>
      <c r="C465" s="2"/>
      <c r="D465" s="2"/>
      <c r="E465" s="3"/>
      <c r="F465" s="3"/>
      <c r="G465" s="2" t="str">
        <f ca="1">IF(F465="","",F465-TODAY())</f>
        <v/>
      </c>
      <c r="H465" s="2"/>
      <c r="I465" s="2"/>
    </row>
    <row r="466" spans="1:9">
      <c r="A466" s="2"/>
      <c r="B466" s="2"/>
      <c r="C466" s="2"/>
      <c r="D466" s="2"/>
      <c r="E466" s="3"/>
      <c r="F466" s="3"/>
      <c r="G466" s="2" t="str">
        <f ca="1">IF(F466="","",F466-TODAY())</f>
        <v/>
      </c>
      <c r="H466" s="2"/>
      <c r="I466" s="2"/>
    </row>
    <row r="467" spans="1:9">
      <c r="A467" s="2"/>
      <c r="B467" s="2"/>
      <c r="C467" s="2"/>
      <c r="D467" s="2"/>
      <c r="E467" s="3"/>
      <c r="F467" s="3"/>
      <c r="G467" s="2" t="str">
        <f ca="1">IF(F467="","",F467-TODAY())</f>
        <v/>
      </c>
      <c r="H467" s="2"/>
      <c r="I467" s="2"/>
    </row>
    <row r="468" spans="1:9">
      <c r="A468" s="2"/>
      <c r="B468" s="2"/>
      <c r="C468" s="2"/>
      <c r="D468" s="2"/>
      <c r="E468" s="3"/>
      <c r="F468" s="3"/>
      <c r="G468" s="2" t="str">
        <f ca="1">IF(F468="","",F468-TODAY())</f>
        <v/>
      </c>
      <c r="H468" s="2"/>
      <c r="I468" s="2"/>
    </row>
    <row r="469" spans="1:9">
      <c r="A469" s="2"/>
      <c r="B469" s="2"/>
      <c r="C469" s="2"/>
      <c r="D469" s="2"/>
      <c r="E469" s="3"/>
      <c r="F469" s="3"/>
      <c r="G469" s="2" t="str">
        <f ca="1">IF(F469="","",F469-TODAY())</f>
        <v/>
      </c>
      <c r="H469" s="2"/>
      <c r="I469" s="2"/>
    </row>
    <row r="470" spans="1:9">
      <c r="A470" s="2"/>
      <c r="B470" s="2"/>
      <c r="C470" s="2"/>
      <c r="D470" s="2"/>
      <c r="E470" s="3"/>
      <c r="F470" s="3"/>
      <c r="G470" s="2" t="str">
        <f ca="1">IF(F470="","",F470-TODAY())</f>
        <v/>
      </c>
      <c r="H470" s="2"/>
      <c r="I470" s="2"/>
    </row>
    <row r="471" spans="1:9">
      <c r="A471" s="2"/>
      <c r="B471" s="2"/>
      <c r="C471" s="2"/>
      <c r="D471" s="2"/>
      <c r="E471" s="3"/>
      <c r="F471" s="3"/>
      <c r="G471" s="2" t="str">
        <f ca="1">IF(F471="","",F471-TODAY())</f>
        <v/>
      </c>
      <c r="H471" s="2"/>
      <c r="I471" s="2"/>
    </row>
    <row r="472" spans="1:9">
      <c r="A472" s="2"/>
      <c r="B472" s="2"/>
      <c r="C472" s="2"/>
      <c r="D472" s="2"/>
      <c r="E472" s="3"/>
      <c r="F472" s="3"/>
      <c r="G472" s="2" t="str">
        <f ca="1">IF(F472="","",F472-TODAY())</f>
        <v/>
      </c>
      <c r="H472" s="2"/>
      <c r="I472" s="2"/>
    </row>
    <row r="473" spans="1:9">
      <c r="A473" s="2"/>
      <c r="B473" s="2"/>
      <c r="C473" s="2"/>
      <c r="D473" s="2"/>
      <c r="E473" s="3"/>
      <c r="F473" s="3"/>
      <c r="G473" s="2" t="str">
        <f ca="1">IF(F473="","",F473-TODAY())</f>
        <v/>
      </c>
      <c r="H473" s="2"/>
      <c r="I473" s="2"/>
    </row>
    <row r="474" spans="1:9">
      <c r="A474" s="2"/>
      <c r="B474" s="2"/>
      <c r="C474" s="2"/>
      <c r="D474" s="2"/>
      <c r="E474" s="3"/>
      <c r="F474" s="3"/>
      <c r="G474" s="2" t="str">
        <f ca="1">IF(F474="","",F474-TODAY())</f>
        <v/>
      </c>
      <c r="H474" s="2"/>
      <c r="I474" s="2"/>
    </row>
    <row r="475" spans="1:9">
      <c r="A475" s="2"/>
      <c r="B475" s="2"/>
      <c r="C475" s="2"/>
      <c r="D475" s="2"/>
      <c r="E475" s="3"/>
      <c r="F475" s="3"/>
      <c r="G475" s="2" t="str">
        <f ca="1">IF(F475="","",F475-TODAY())</f>
        <v/>
      </c>
      <c r="H475" s="2"/>
      <c r="I475" s="2"/>
    </row>
    <row r="476" spans="1:9">
      <c r="A476" s="2"/>
      <c r="B476" s="2"/>
      <c r="C476" s="2"/>
      <c r="D476" s="2"/>
      <c r="E476" s="3"/>
      <c r="F476" s="3"/>
      <c r="G476" s="2" t="str">
        <f ca="1">IF(F476="","",F476-TODAY())</f>
        <v/>
      </c>
      <c r="H476" s="2"/>
      <c r="I476" s="2"/>
    </row>
    <row r="477" spans="1:9">
      <c r="A477" s="2"/>
      <c r="B477" s="2"/>
      <c r="C477" s="2"/>
      <c r="D477" s="2"/>
      <c r="E477" s="3"/>
      <c r="F477" s="3"/>
      <c r="G477" s="2" t="str">
        <f ca="1">IF(F477="","",F477-TODAY())</f>
        <v/>
      </c>
      <c r="H477" s="2"/>
      <c r="I477" s="2"/>
    </row>
    <row r="478" spans="1:9">
      <c r="A478" s="2"/>
      <c r="B478" s="2"/>
      <c r="C478" s="2"/>
      <c r="D478" s="2"/>
      <c r="E478" s="3"/>
      <c r="F478" s="3"/>
      <c r="G478" s="2" t="str">
        <f ca="1">IF(F478="","",F478-TODAY())</f>
        <v/>
      </c>
      <c r="H478" s="2"/>
      <c r="I478" s="2"/>
    </row>
    <row r="479" spans="1:9">
      <c r="A479" s="2"/>
      <c r="B479" s="2"/>
      <c r="C479" s="2"/>
      <c r="D479" s="2"/>
      <c r="E479" s="3"/>
      <c r="F479" s="3"/>
      <c r="G479" s="2" t="str">
        <f ca="1">IF(F479="","",F479-TODAY())</f>
        <v/>
      </c>
      <c r="H479" s="2"/>
      <c r="I479" s="2"/>
    </row>
    <row r="480" spans="1:9">
      <c r="A480" s="2"/>
      <c r="B480" s="2"/>
      <c r="C480" s="2"/>
      <c r="D480" s="2"/>
      <c r="E480" s="3"/>
      <c r="F480" s="3"/>
      <c r="G480" s="2" t="str">
        <f ca="1">IF(F480="","",F480-TODAY())</f>
        <v/>
      </c>
      <c r="H480" s="2"/>
      <c r="I480" s="2"/>
    </row>
    <row r="481" spans="1:9">
      <c r="A481" s="2"/>
      <c r="B481" s="2"/>
      <c r="C481" s="2"/>
      <c r="D481" s="2"/>
      <c r="E481" s="3"/>
      <c r="F481" s="3"/>
      <c r="G481" s="2" t="str">
        <f ca="1">IF(F481="","",F481-TODAY())</f>
        <v/>
      </c>
      <c r="H481" s="2"/>
      <c r="I481" s="2"/>
    </row>
    <row r="482" spans="1:9">
      <c r="A482" s="2"/>
      <c r="B482" s="2"/>
      <c r="C482" s="2"/>
      <c r="D482" s="2"/>
      <c r="E482" s="3"/>
      <c r="F482" s="3"/>
      <c r="G482" s="2" t="str">
        <f ca="1">IF(F482="","",F482-TODAY())</f>
        <v/>
      </c>
      <c r="H482" s="2"/>
      <c r="I482" s="2"/>
    </row>
    <row r="483" spans="1:9">
      <c r="A483" s="2"/>
      <c r="B483" s="2"/>
      <c r="C483" s="2"/>
      <c r="D483" s="2"/>
      <c r="E483" s="3"/>
      <c r="F483" s="3"/>
      <c r="G483" s="2" t="str">
        <f ca="1">IF(F483="","",F483-TODAY())</f>
        <v/>
      </c>
      <c r="H483" s="2"/>
      <c r="I483" s="2"/>
    </row>
    <row r="484" spans="1:9">
      <c r="A484" s="2"/>
      <c r="B484" s="2"/>
      <c r="C484" s="2"/>
      <c r="D484" s="2"/>
      <c r="E484" s="3"/>
      <c r="F484" s="3"/>
      <c r="G484" s="2" t="str">
        <f ca="1">IF(F484="","",F484-TODAY())</f>
        <v/>
      </c>
      <c r="H484" s="2"/>
      <c r="I484" s="2"/>
    </row>
    <row r="485" spans="1:9">
      <c r="A485" s="2"/>
      <c r="B485" s="2"/>
      <c r="C485" s="2"/>
      <c r="D485" s="2"/>
      <c r="E485" s="3"/>
      <c r="F485" s="3"/>
      <c r="G485" s="2" t="str">
        <f ca="1">IF(F485="","",F485-TODAY())</f>
        <v/>
      </c>
      <c r="H485" s="2"/>
      <c r="I485" s="2"/>
    </row>
    <row r="486" spans="1:9">
      <c r="A486" s="2"/>
      <c r="B486" s="2"/>
      <c r="C486" s="2"/>
      <c r="D486" s="2"/>
      <c r="E486" s="3"/>
      <c r="F486" s="3"/>
      <c r="G486" s="2" t="str">
        <f ca="1">IF(F486="","",F486-TODAY())</f>
        <v/>
      </c>
      <c r="H486" s="2"/>
      <c r="I486" s="2"/>
    </row>
    <row r="487" spans="1:9">
      <c r="A487" s="2"/>
      <c r="B487" s="2"/>
      <c r="C487" s="2"/>
      <c r="D487" s="2"/>
      <c r="E487" s="3"/>
      <c r="F487" s="3"/>
      <c r="G487" s="2" t="str">
        <f ca="1">IF(F487="","",F487-TODAY())</f>
        <v/>
      </c>
      <c r="H487" s="2"/>
      <c r="I487" s="2"/>
    </row>
    <row r="488" spans="1:9">
      <c r="A488" s="2"/>
      <c r="B488" s="2"/>
      <c r="C488" s="2"/>
      <c r="D488" s="2"/>
      <c r="E488" s="3"/>
      <c r="F488" s="3"/>
      <c r="G488" s="2" t="str">
        <f ca="1">IF(F488="","",F488-TODAY())</f>
        <v/>
      </c>
      <c r="H488" s="2"/>
      <c r="I488" s="2"/>
    </row>
    <row r="489" spans="1:9">
      <c r="A489" s="2"/>
      <c r="B489" s="2"/>
      <c r="C489" s="2"/>
      <c r="D489" s="2"/>
      <c r="E489" s="3"/>
      <c r="F489" s="3"/>
      <c r="G489" s="2" t="str">
        <f ca="1">IF(F489="","",F489-TODAY())</f>
        <v/>
      </c>
      <c r="H489" s="2"/>
      <c r="I489" s="2"/>
    </row>
    <row r="490" spans="1:9">
      <c r="A490" s="2"/>
      <c r="B490" s="2"/>
      <c r="C490" s="2"/>
      <c r="D490" s="2"/>
      <c r="E490" s="3"/>
      <c r="F490" s="3"/>
      <c r="G490" s="2" t="str">
        <f ca="1">IF(F490="","",F490-TODAY())</f>
        <v/>
      </c>
      <c r="H490" s="2"/>
      <c r="I490" s="2"/>
    </row>
    <row r="491" spans="1:9">
      <c r="A491" s="2"/>
      <c r="B491" s="2"/>
      <c r="C491" s="2"/>
      <c r="D491" s="2"/>
      <c r="E491" s="3"/>
      <c r="F491" s="3"/>
      <c r="G491" s="2" t="str">
        <f ca="1">IF(F491="","",F491-TODAY())</f>
        <v/>
      </c>
      <c r="H491" s="2"/>
      <c r="I491" s="2"/>
    </row>
    <row r="492" spans="1:9">
      <c r="A492" s="2"/>
      <c r="B492" s="2"/>
      <c r="C492" s="2"/>
      <c r="D492" s="2"/>
      <c r="E492" s="3"/>
      <c r="F492" s="3"/>
      <c r="G492" s="2" t="str">
        <f ca="1">IF(F492="","",F492-TODAY())</f>
        <v/>
      </c>
      <c r="H492" s="2"/>
      <c r="I492" s="2"/>
    </row>
    <row r="493" spans="1:9">
      <c r="A493" s="2"/>
      <c r="B493" s="2"/>
      <c r="C493" s="2"/>
      <c r="D493" s="2"/>
      <c r="E493" s="3"/>
      <c r="F493" s="3"/>
      <c r="G493" s="2" t="str">
        <f ca="1">IF(F493="","",F493-TODAY())</f>
        <v/>
      </c>
      <c r="H493" s="2"/>
      <c r="I493" s="2"/>
    </row>
    <row r="494" spans="1:9">
      <c r="A494" s="2"/>
      <c r="B494" s="2"/>
      <c r="C494" s="2"/>
      <c r="D494" s="2"/>
      <c r="E494" s="3"/>
      <c r="F494" s="3"/>
      <c r="G494" s="2" t="str">
        <f ca="1">IF(F494="","",F494-TODAY())</f>
        <v/>
      </c>
      <c r="H494" s="2"/>
      <c r="I494" s="2"/>
    </row>
    <row r="495" spans="1:9">
      <c r="A495" s="2"/>
      <c r="B495" s="2"/>
      <c r="C495" s="2"/>
      <c r="D495" s="2"/>
      <c r="E495" s="3"/>
      <c r="F495" s="3"/>
      <c r="G495" s="2" t="str">
        <f ca="1">IF(F495="","",F495-TODAY())</f>
        <v/>
      </c>
      <c r="H495" s="2"/>
      <c r="I495" s="2"/>
    </row>
    <row r="496" spans="1:9">
      <c r="A496" s="2"/>
      <c r="B496" s="2"/>
      <c r="C496" s="2"/>
      <c r="D496" s="2"/>
      <c r="E496" s="3"/>
      <c r="F496" s="3"/>
      <c r="G496" s="2" t="str">
        <f ca="1">IF(F496="","",F496-TODAY())</f>
        <v/>
      </c>
      <c r="H496" s="2"/>
      <c r="I496" s="2"/>
    </row>
    <row r="497" spans="1:9">
      <c r="A497" s="2"/>
      <c r="B497" s="2"/>
      <c r="C497" s="2"/>
      <c r="D497" s="2"/>
      <c r="E497" s="3"/>
      <c r="F497" s="3"/>
      <c r="G497" s="2" t="str">
        <f ca="1">IF(F497="","",F497-TODAY())</f>
        <v/>
      </c>
      <c r="H497" s="2"/>
      <c r="I497" s="2"/>
    </row>
    <row r="498" spans="1:9">
      <c r="A498" s="2"/>
      <c r="B498" s="2"/>
      <c r="C498" s="2"/>
      <c r="D498" s="2"/>
      <c r="E498" s="3"/>
      <c r="F498" s="3"/>
      <c r="G498" s="2" t="str">
        <f ca="1">IF(F498="","",F498-TODAY())</f>
        <v/>
      </c>
      <c r="H498" s="2"/>
      <c r="I498" s="2"/>
    </row>
    <row r="499" spans="1:9">
      <c r="A499" s="2"/>
      <c r="B499" s="2"/>
      <c r="C499" s="2"/>
      <c r="D499" s="2"/>
      <c r="E499" s="3"/>
      <c r="F499" s="3"/>
      <c r="G499" s="2" t="str">
        <f ca="1">IF(F499="","",F499-TODAY())</f>
        <v/>
      </c>
      <c r="H499" s="2"/>
      <c r="I499" s="2"/>
    </row>
    <row r="500" spans="1:9">
      <c r="A500" s="2"/>
      <c r="B500" s="2"/>
      <c r="C500" s="2"/>
      <c r="D500" s="2"/>
      <c r="E500" s="3"/>
      <c r="F500" s="3"/>
      <c r="G500" s="2" t="str">
        <f ca="1">IF(F500="","",F500-TODAY())</f>
        <v/>
      </c>
      <c r="H500" s="2"/>
      <c r="I500" s="2"/>
    </row>
    <row r="501" spans="1:9">
      <c r="A501" s="2"/>
      <c r="B501" s="2"/>
      <c r="C501" s="2"/>
      <c r="D501" s="2"/>
      <c r="E501" s="3"/>
      <c r="F501" s="3"/>
      <c r="G501" s="2" t="str">
        <f ca="1">IF(F501="","",F501-TODAY())</f>
        <v/>
      </c>
      <c r="H501" s="2"/>
      <c r="I501" s="2"/>
    </row>
    <row r="502" spans="1:9">
      <c r="A502" s="2"/>
      <c r="B502" s="2"/>
      <c r="C502" s="2"/>
      <c r="D502" s="2"/>
      <c r="E502" s="3"/>
      <c r="F502" s="3"/>
      <c r="G502" s="2" t="str">
        <f ca="1">IF(F502="","",F502-TODAY())</f>
        <v/>
      </c>
      <c r="H502" s="2"/>
      <c r="I502" s="2"/>
    </row>
    <row r="503" spans="1:9">
      <c r="A503" s="2"/>
      <c r="B503" s="2"/>
      <c r="C503" s="2"/>
      <c r="D503" s="2"/>
      <c r="E503" s="3"/>
      <c r="F503" s="3"/>
      <c r="G503" s="2" t="str">
        <f ca="1">IF(F503="","",F503-TODAY())</f>
        <v/>
      </c>
      <c r="H503" s="2"/>
      <c r="I503" s="2"/>
    </row>
    <row r="504" spans="1:9">
      <c r="A504" s="2"/>
      <c r="B504" s="2"/>
      <c r="C504" s="2"/>
      <c r="D504" s="2"/>
      <c r="E504" s="3"/>
      <c r="F504" s="3"/>
      <c r="G504" s="2" t="str">
        <f ca="1">IF(F504="","",F504-TODAY())</f>
        <v/>
      </c>
      <c r="H504" s="2"/>
      <c r="I504" s="2"/>
    </row>
    <row r="505" spans="1:9">
      <c r="A505" s="2"/>
      <c r="B505" s="2"/>
      <c r="C505" s="2"/>
      <c r="D505" s="2"/>
      <c r="E505" s="3"/>
      <c r="F505" s="3"/>
      <c r="G505" s="2" t="str">
        <f ca="1">IF(F505="","",F505-TODAY())</f>
        <v/>
      </c>
      <c r="H505" s="2"/>
      <c r="I505" s="2"/>
    </row>
    <row r="506" spans="1:9">
      <c r="A506" s="2"/>
      <c r="B506" s="2"/>
      <c r="C506" s="2"/>
      <c r="D506" s="2"/>
      <c r="E506" s="3"/>
      <c r="F506" s="3"/>
      <c r="G506" s="2" t="str">
        <f ca="1">IF(F506="","",F506-TODAY())</f>
        <v/>
      </c>
      <c r="H506" s="2"/>
      <c r="I506" s="2"/>
    </row>
    <row r="507" spans="1:9">
      <c r="A507" s="2"/>
      <c r="B507" s="2"/>
      <c r="C507" s="2"/>
      <c r="D507" s="2"/>
      <c r="E507" s="3"/>
      <c r="F507" s="3"/>
      <c r="G507" s="2" t="str">
        <f ca="1">IF(F507="","",F507-TODAY())</f>
        <v/>
      </c>
      <c r="H507" s="2"/>
      <c r="I507" s="2"/>
    </row>
    <row r="508" spans="1:9">
      <c r="A508" s="2"/>
      <c r="B508" s="2"/>
      <c r="C508" s="2"/>
      <c r="D508" s="2"/>
      <c r="E508" s="3"/>
      <c r="F508" s="3"/>
      <c r="G508" s="2" t="str">
        <f ca="1">IF(F508="","",F508-TODAY())</f>
        <v/>
      </c>
      <c r="H508" s="2"/>
      <c r="I508" s="2"/>
    </row>
    <row r="509" spans="1:9">
      <c r="A509" s="2"/>
      <c r="B509" s="2"/>
      <c r="C509" s="2"/>
      <c r="D509" s="2"/>
      <c r="E509" s="3"/>
      <c r="F509" s="3"/>
      <c r="G509" s="2" t="str">
        <f ca="1">IF(F509="","",F509-TODAY())</f>
        <v/>
      </c>
      <c r="H509" s="2"/>
      <c r="I509" s="2"/>
    </row>
    <row r="510" spans="1:9">
      <c r="A510" s="2"/>
      <c r="B510" s="2"/>
      <c r="C510" s="2"/>
      <c r="D510" s="2"/>
      <c r="E510" s="3"/>
      <c r="F510" s="3"/>
      <c r="G510" s="2" t="str">
        <f ca="1">IF(F510="","",F510-TODAY())</f>
        <v/>
      </c>
      <c r="H510" s="2"/>
      <c r="I510" s="2"/>
    </row>
    <row r="511" spans="1:9">
      <c r="A511" s="2"/>
      <c r="B511" s="2"/>
      <c r="C511" s="2"/>
      <c r="D511" s="2"/>
      <c r="E511" s="3"/>
      <c r="F511" s="3"/>
      <c r="G511" s="2" t="str">
        <f ca="1">IF(F511="","",F511-TODAY())</f>
        <v/>
      </c>
      <c r="H511" s="2"/>
      <c r="I511" s="2"/>
    </row>
    <row r="512" spans="1:9">
      <c r="A512" s="2"/>
      <c r="B512" s="2"/>
      <c r="C512" s="2"/>
      <c r="D512" s="2"/>
      <c r="E512" s="3"/>
      <c r="F512" s="3"/>
      <c r="G512" s="2" t="str">
        <f ca="1">IF(F512="","",F512-TODAY())</f>
        <v/>
      </c>
      <c r="H512" s="2"/>
      <c r="I512" s="2"/>
    </row>
    <row r="513" spans="1:9">
      <c r="A513" s="2"/>
      <c r="B513" s="2"/>
      <c r="C513" s="2"/>
      <c r="D513" s="2"/>
      <c r="E513" s="3"/>
      <c r="F513" s="3"/>
      <c r="G513" s="2" t="str">
        <f ca="1">IF(F513="","",F513-TODAY())</f>
        <v/>
      </c>
      <c r="H513" s="2"/>
      <c r="I513" s="2"/>
    </row>
    <row r="514" spans="1:9">
      <c r="A514" s="2"/>
      <c r="B514" s="2"/>
      <c r="C514" s="2"/>
      <c r="D514" s="2"/>
      <c r="E514" s="3"/>
      <c r="F514" s="3"/>
      <c r="G514" s="2" t="str">
        <f ca="1">IF(F514="","",F514-TODAY())</f>
        <v/>
      </c>
      <c r="H514" s="2"/>
      <c r="I514" s="2"/>
    </row>
    <row r="515" spans="1:9">
      <c r="A515" s="2"/>
      <c r="B515" s="2"/>
      <c r="C515" s="2"/>
      <c r="D515" s="2"/>
      <c r="E515" s="3"/>
      <c r="F515" s="3"/>
      <c r="G515" s="2" t="str">
        <f ca="1">IF(F515="","",F515-TODAY())</f>
        <v/>
      </c>
      <c r="H515" s="2"/>
      <c r="I515" s="2"/>
    </row>
    <row r="516" spans="1:9">
      <c r="A516" s="2"/>
      <c r="B516" s="2"/>
      <c r="C516" s="2"/>
      <c r="D516" s="2"/>
      <c r="E516" s="3"/>
      <c r="F516" s="3"/>
      <c r="G516" s="2" t="str">
        <f ca="1">IF(F516="","",F516-TODAY())</f>
        <v/>
      </c>
      <c r="H516" s="2"/>
      <c r="I516" s="2"/>
    </row>
    <row r="517" spans="1:9">
      <c r="A517" s="2"/>
      <c r="B517" s="2"/>
      <c r="C517" s="2"/>
      <c r="D517" s="2"/>
      <c r="E517" s="3"/>
      <c r="F517" s="3"/>
      <c r="G517" s="2" t="str">
        <f ca="1">IF(F517="","",F517-TODAY())</f>
        <v/>
      </c>
      <c r="H517" s="2"/>
      <c r="I517" s="2"/>
    </row>
    <row r="518" spans="1:9">
      <c r="A518" s="2"/>
      <c r="B518" s="2"/>
      <c r="C518" s="2"/>
      <c r="D518" s="2"/>
      <c r="E518" s="3"/>
      <c r="F518" s="3"/>
      <c r="G518" s="2" t="str">
        <f ca="1">IF(F518="","",F518-TODAY())</f>
        <v/>
      </c>
      <c r="H518" s="2"/>
      <c r="I518" s="2"/>
    </row>
    <row r="519" spans="1:9">
      <c r="A519" s="2"/>
      <c r="B519" s="2"/>
      <c r="C519" s="2"/>
      <c r="D519" s="2"/>
      <c r="E519" s="3"/>
      <c r="F519" s="3"/>
      <c r="G519" s="2" t="str">
        <f ca="1">IF(F519="","",F519-TODAY())</f>
        <v/>
      </c>
      <c r="H519" s="2"/>
      <c r="I519" s="2"/>
    </row>
    <row r="520" spans="1:9">
      <c r="A520" s="2"/>
      <c r="B520" s="2"/>
      <c r="C520" s="2"/>
      <c r="D520" s="2"/>
      <c r="E520" s="3"/>
      <c r="F520" s="3"/>
      <c r="G520" s="2" t="str">
        <f ca="1">IF(F520="","",F520-TODAY())</f>
        <v/>
      </c>
      <c r="H520" s="2"/>
      <c r="I520" s="2"/>
    </row>
    <row r="521" spans="1:9">
      <c r="A521" s="2"/>
      <c r="B521" s="2"/>
      <c r="C521" s="2"/>
      <c r="D521" s="2"/>
      <c r="E521" s="3"/>
      <c r="F521" s="3"/>
      <c r="G521" s="2" t="str">
        <f ca="1">IF(F521="","",F521-TODAY())</f>
        <v/>
      </c>
      <c r="H521" s="2"/>
      <c r="I521" s="2"/>
    </row>
    <row r="522" spans="1:9">
      <c r="A522" s="2"/>
      <c r="B522" s="2"/>
      <c r="C522" s="2"/>
      <c r="D522" s="2"/>
      <c r="E522" s="3"/>
      <c r="F522" s="3"/>
      <c r="G522" s="2" t="str">
        <f ca="1">IF(F522="","",F522-TODAY())</f>
        <v/>
      </c>
      <c r="H522" s="2"/>
      <c r="I522" s="2"/>
    </row>
    <row r="523" spans="1:9">
      <c r="A523" s="2"/>
      <c r="B523" s="2"/>
      <c r="C523" s="2"/>
      <c r="D523" s="2"/>
      <c r="E523" s="3"/>
      <c r="F523" s="3"/>
      <c r="G523" s="2" t="str">
        <f ca="1">IF(F523="","",F523-TODAY())</f>
        <v/>
      </c>
      <c r="H523" s="2"/>
      <c r="I523" s="2"/>
    </row>
    <row r="524" spans="1:9">
      <c r="A524" s="2"/>
      <c r="B524" s="2"/>
      <c r="C524" s="2"/>
      <c r="D524" s="2"/>
      <c r="E524" s="3"/>
      <c r="F524" s="3"/>
      <c r="G524" s="2" t="str">
        <f ca="1">IF(F524="","",F524-TODAY())</f>
        <v/>
      </c>
      <c r="H524" s="2"/>
      <c r="I524" s="2"/>
    </row>
    <row r="525" spans="1:9">
      <c r="A525" s="2"/>
      <c r="B525" s="2"/>
      <c r="C525" s="2"/>
      <c r="D525" s="2"/>
      <c r="E525" s="3"/>
      <c r="F525" s="3"/>
      <c r="G525" s="2" t="str">
        <f ca="1">IF(F525="","",F525-TODAY())</f>
        <v/>
      </c>
      <c r="H525" s="2"/>
      <c r="I525" s="2"/>
    </row>
    <row r="526" spans="1:9">
      <c r="A526" s="2"/>
      <c r="B526" s="2"/>
      <c r="C526" s="2"/>
      <c r="D526" s="2"/>
      <c r="E526" s="3"/>
      <c r="F526" s="3"/>
      <c r="G526" s="2" t="str">
        <f ca="1">IF(F526="","",F526-TODAY())</f>
        <v/>
      </c>
      <c r="H526" s="2"/>
      <c r="I526" s="2"/>
    </row>
    <row r="527" spans="1:9">
      <c r="A527" s="2"/>
      <c r="B527" s="2"/>
      <c r="C527" s="2"/>
      <c r="D527" s="2"/>
      <c r="E527" s="3"/>
      <c r="F527" s="3"/>
      <c r="G527" s="2" t="str">
        <f ca="1">IF(F527="","",F527-TODAY())</f>
        <v/>
      </c>
      <c r="H527" s="2"/>
      <c r="I527" s="2"/>
    </row>
    <row r="528" spans="1:9">
      <c r="A528" s="2"/>
      <c r="B528" s="2"/>
      <c r="C528" s="2"/>
      <c r="D528" s="2"/>
      <c r="E528" s="3"/>
      <c r="F528" s="3"/>
      <c r="G528" s="2" t="str">
        <f ca="1">IF(F528="","",F528-TODAY())</f>
        <v/>
      </c>
      <c r="H528" s="2"/>
      <c r="I528" s="2"/>
    </row>
    <row r="529" spans="1:9">
      <c r="A529" s="2"/>
      <c r="B529" s="2"/>
      <c r="C529" s="2"/>
      <c r="D529" s="2"/>
      <c r="E529" s="3"/>
      <c r="F529" s="3"/>
      <c r="G529" s="2" t="str">
        <f ca="1">IF(F529="","",F529-TODAY())</f>
        <v/>
      </c>
      <c r="H529" s="2"/>
      <c r="I529" s="2"/>
    </row>
    <row r="530" spans="1:9">
      <c r="A530" s="2"/>
      <c r="B530" s="2"/>
      <c r="C530" s="2"/>
      <c r="D530" s="2"/>
      <c r="E530" s="3"/>
      <c r="F530" s="3"/>
      <c r="G530" s="2" t="str">
        <f ca="1">IF(F530="","",F530-TODAY())</f>
        <v/>
      </c>
      <c r="H530" s="2"/>
      <c r="I530" s="2"/>
    </row>
    <row r="531" spans="1:9">
      <c r="A531" s="2"/>
      <c r="B531" s="2"/>
      <c r="C531" s="2"/>
      <c r="D531" s="2"/>
      <c r="E531" s="3"/>
      <c r="F531" s="3"/>
      <c r="G531" s="2" t="str">
        <f ca="1">IF(F531="","",F531-TODAY())</f>
        <v/>
      </c>
      <c r="H531" s="2"/>
      <c r="I531" s="2"/>
    </row>
    <row r="532" spans="1:9">
      <c r="A532" s="2"/>
      <c r="B532" s="2"/>
      <c r="C532" s="2"/>
      <c r="D532" s="2"/>
      <c r="E532" s="3"/>
      <c r="F532" s="3"/>
      <c r="G532" s="2" t="str">
        <f ca="1">IF(F532="","",F532-TODAY())</f>
        <v/>
      </c>
      <c r="H532" s="2"/>
      <c r="I532" s="2"/>
    </row>
    <row r="533" spans="1:9">
      <c r="A533" s="2"/>
      <c r="B533" s="2"/>
      <c r="C533" s="2"/>
      <c r="D533" s="2"/>
      <c r="E533" s="3"/>
      <c r="F533" s="3"/>
      <c r="G533" s="2" t="str">
        <f ca="1">IF(F533="","",F533-TODAY())</f>
        <v/>
      </c>
      <c r="H533" s="2"/>
      <c r="I533" s="2"/>
    </row>
    <row r="534" spans="1:9">
      <c r="A534" s="2"/>
      <c r="B534" s="2"/>
      <c r="C534" s="2"/>
      <c r="D534" s="2"/>
      <c r="E534" s="3"/>
      <c r="F534" s="3"/>
      <c r="G534" s="2" t="str">
        <f ca="1">IF(F534="","",F534-TODAY())</f>
        <v/>
      </c>
      <c r="H534" s="2"/>
      <c r="I534" s="2"/>
    </row>
    <row r="535" spans="1:9">
      <c r="A535" s="2"/>
      <c r="B535" s="2"/>
      <c r="C535" s="2"/>
      <c r="D535" s="2"/>
      <c r="E535" s="3"/>
      <c r="F535" s="3"/>
      <c r="G535" s="2" t="str">
        <f ca="1">IF(F535="","",F535-TODAY())</f>
        <v/>
      </c>
      <c r="H535" s="2"/>
      <c r="I535" s="2"/>
    </row>
    <row r="536" spans="1:9">
      <c r="A536" s="2"/>
      <c r="B536" s="2"/>
      <c r="C536" s="2"/>
      <c r="D536" s="2"/>
      <c r="E536" s="3"/>
      <c r="F536" s="3"/>
      <c r="G536" s="2" t="str">
        <f ca="1">IF(F536="","",F536-TODAY())</f>
        <v/>
      </c>
      <c r="H536" s="2"/>
      <c r="I536" s="2"/>
    </row>
    <row r="537" spans="1:9">
      <c r="A537" s="2"/>
      <c r="B537" s="2"/>
      <c r="C537" s="2"/>
      <c r="D537" s="2"/>
      <c r="E537" s="3"/>
      <c r="F537" s="3"/>
      <c r="G537" s="2" t="str">
        <f ca="1">IF(F537="","",F537-TODAY())</f>
        <v/>
      </c>
      <c r="H537" s="2"/>
      <c r="I537" s="2"/>
    </row>
    <row r="538" spans="1:9">
      <c r="A538" s="2"/>
      <c r="B538" s="2"/>
      <c r="C538" s="2"/>
      <c r="D538" s="2"/>
      <c r="E538" s="3"/>
      <c r="F538" s="3"/>
      <c r="G538" s="2" t="str">
        <f ca="1">IF(F538="","",F538-TODAY())</f>
        <v/>
      </c>
      <c r="H538" s="2"/>
      <c r="I538" s="2"/>
    </row>
    <row r="539" spans="1:9">
      <c r="A539" s="2"/>
      <c r="B539" s="2"/>
      <c r="C539" s="2"/>
      <c r="D539" s="2"/>
      <c r="E539" s="3"/>
      <c r="F539" s="3"/>
      <c r="G539" s="2" t="str">
        <f ca="1">IF(F539="","",F539-TODAY())</f>
        <v/>
      </c>
      <c r="H539" s="2"/>
      <c r="I539" s="2"/>
    </row>
    <row r="540" spans="1:9">
      <c r="A540" s="2"/>
      <c r="B540" s="2"/>
      <c r="C540" s="2"/>
      <c r="D540" s="2"/>
      <c r="E540" s="3"/>
      <c r="F540" s="3"/>
      <c r="G540" s="2" t="str">
        <f ca="1">IF(F540="","",F540-TODAY())</f>
        <v/>
      </c>
      <c r="H540" s="2"/>
      <c r="I540" s="2"/>
    </row>
    <row r="541" spans="1:9">
      <c r="A541" s="2"/>
      <c r="B541" s="2"/>
      <c r="C541" s="2"/>
      <c r="D541" s="2"/>
      <c r="E541" s="3"/>
      <c r="F541" s="3"/>
      <c r="G541" s="2" t="str">
        <f ca="1">IF(F541="","",F541-TODAY())</f>
        <v/>
      </c>
      <c r="H541" s="2"/>
      <c r="I541" s="2"/>
    </row>
    <row r="542" spans="1:9">
      <c r="A542" s="2"/>
      <c r="B542" s="2"/>
      <c r="C542" s="2"/>
      <c r="D542" s="2"/>
      <c r="E542" s="3"/>
      <c r="F542" s="3"/>
      <c r="G542" s="2" t="str">
        <f ca="1">IF(F542="","",F542-TODAY())</f>
        <v/>
      </c>
      <c r="H542" s="2"/>
      <c r="I542" s="2"/>
    </row>
    <row r="543" spans="1:9">
      <c r="A543" s="2"/>
      <c r="B543" s="2"/>
      <c r="C543" s="2"/>
      <c r="D543" s="2"/>
      <c r="E543" s="3"/>
      <c r="F543" s="3"/>
      <c r="G543" s="2" t="str">
        <f ca="1">IF(F543="","",F543-TODAY())</f>
        <v/>
      </c>
      <c r="H543" s="2"/>
      <c r="I543" s="2"/>
    </row>
    <row r="544" spans="1:9">
      <c r="A544" s="2"/>
      <c r="B544" s="2"/>
      <c r="C544" s="2"/>
      <c r="D544" s="2"/>
      <c r="E544" s="3"/>
      <c r="F544" s="3"/>
      <c r="G544" s="2" t="str">
        <f ca="1">IF(F544="","",F544-TODAY())</f>
        <v/>
      </c>
      <c r="H544" s="2"/>
      <c r="I544" s="2"/>
    </row>
    <row r="545" spans="1:9">
      <c r="A545" s="2"/>
      <c r="B545" s="2"/>
      <c r="C545" s="2"/>
      <c r="D545" s="2"/>
      <c r="E545" s="3"/>
      <c r="F545" s="3"/>
      <c r="G545" s="2" t="str">
        <f ca="1">IF(F545="","",F545-TODAY())</f>
        <v/>
      </c>
      <c r="H545" s="2"/>
      <c r="I545" s="2"/>
    </row>
    <row r="546" spans="1:9">
      <c r="A546" s="2"/>
      <c r="B546" s="2"/>
      <c r="C546" s="2"/>
      <c r="D546" s="2"/>
      <c r="E546" s="3"/>
      <c r="F546" s="3"/>
      <c r="G546" s="2" t="str">
        <f ca="1">IF(F546="","",F546-TODAY())</f>
        <v/>
      </c>
      <c r="H546" s="2"/>
      <c r="I546" s="2"/>
    </row>
    <row r="547" spans="1:9">
      <c r="A547" s="2"/>
      <c r="B547" s="2"/>
      <c r="C547" s="2"/>
      <c r="D547" s="2"/>
      <c r="E547" s="3"/>
      <c r="F547" s="3"/>
      <c r="G547" s="2" t="str">
        <f ca="1">IF(F547="","",F547-TODAY())</f>
        <v/>
      </c>
      <c r="H547" s="2"/>
      <c r="I547" s="2"/>
    </row>
    <row r="548" spans="1:9">
      <c r="A548" s="2"/>
      <c r="B548" s="2"/>
      <c r="C548" s="2"/>
      <c r="D548" s="2"/>
      <c r="E548" s="3"/>
      <c r="F548" s="3"/>
      <c r="G548" s="2" t="str">
        <f ca="1">IF(F548="","",F548-TODAY())</f>
        <v/>
      </c>
      <c r="H548" s="2"/>
      <c r="I548" s="2"/>
    </row>
    <row r="549" spans="1:9">
      <c r="A549" s="2"/>
      <c r="B549" s="2"/>
      <c r="C549" s="2"/>
      <c r="D549" s="2"/>
      <c r="E549" s="3"/>
      <c r="F549" s="3"/>
      <c r="G549" s="2" t="str">
        <f ca="1">IF(F549="","",F549-TODAY())</f>
        <v/>
      </c>
      <c r="H549" s="2"/>
      <c r="I549" s="2"/>
    </row>
    <row r="550" spans="1:9">
      <c r="A550" s="2"/>
      <c r="B550" s="2"/>
      <c r="C550" s="2"/>
      <c r="D550" s="2"/>
      <c r="E550" s="3"/>
      <c r="F550" s="3"/>
      <c r="G550" s="2" t="str">
        <f ca="1">IF(F550="","",F550-TODAY())</f>
        <v/>
      </c>
      <c r="H550" s="2"/>
      <c r="I550" s="2"/>
    </row>
    <row r="551" spans="1:9">
      <c r="A551" s="2"/>
      <c r="B551" s="2"/>
      <c r="C551" s="2"/>
      <c r="D551" s="2"/>
      <c r="E551" s="3"/>
      <c r="F551" s="3"/>
      <c r="G551" s="2" t="str">
        <f ca="1">IF(F551="","",F551-TODAY())</f>
        <v/>
      </c>
      <c r="H551" s="2"/>
      <c r="I551" s="2"/>
    </row>
    <row r="552" spans="1:9">
      <c r="A552" s="2"/>
      <c r="B552" s="2"/>
      <c r="C552" s="2"/>
      <c r="D552" s="2"/>
      <c r="E552" s="3"/>
      <c r="F552" s="3"/>
      <c r="G552" s="2" t="str">
        <f ca="1">IF(F552="","",F552-TODAY())</f>
        <v/>
      </c>
      <c r="H552" s="2"/>
      <c r="I552" s="2"/>
    </row>
    <row r="553" spans="1:9">
      <c r="A553" s="2"/>
      <c r="B553" s="2"/>
      <c r="C553" s="2"/>
      <c r="D553" s="2"/>
      <c r="E553" s="3"/>
      <c r="F553" s="3"/>
      <c r="G553" s="2" t="str">
        <f ca="1">IF(F553="","",F553-TODAY())</f>
        <v/>
      </c>
      <c r="H553" s="2"/>
      <c r="I553" s="2"/>
    </row>
    <row r="554" spans="1:9">
      <c r="A554" s="2"/>
      <c r="B554" s="2"/>
      <c r="C554" s="2"/>
      <c r="D554" s="2"/>
      <c r="E554" s="3"/>
      <c r="F554" s="3"/>
      <c r="G554" s="2" t="str">
        <f ca="1">IF(F554="","",F554-TODAY())</f>
        <v/>
      </c>
      <c r="H554" s="2"/>
      <c r="I554" s="2"/>
    </row>
    <row r="555" spans="1:9">
      <c r="A555" s="2"/>
      <c r="B555" s="2"/>
      <c r="C555" s="2"/>
      <c r="D555" s="2"/>
      <c r="E555" s="3"/>
      <c r="F555" s="3"/>
      <c r="G555" s="2" t="str">
        <f ca="1">IF(F555="","",F555-TODAY())</f>
        <v/>
      </c>
      <c r="H555" s="2"/>
      <c r="I555" s="2"/>
    </row>
    <row r="556" spans="1:9">
      <c r="A556" s="2"/>
      <c r="B556" s="2"/>
      <c r="C556" s="2"/>
      <c r="D556" s="2"/>
      <c r="E556" s="3"/>
      <c r="F556" s="3"/>
      <c r="G556" s="2" t="str">
        <f ca="1">IF(F556="","",F556-TODAY())</f>
        <v/>
      </c>
      <c r="H556" s="2"/>
      <c r="I556" s="2"/>
    </row>
    <row r="557" spans="1:9">
      <c r="A557" s="2"/>
      <c r="B557" s="2"/>
      <c r="C557" s="2"/>
      <c r="D557" s="2"/>
      <c r="E557" s="3"/>
      <c r="F557" s="3"/>
      <c r="G557" s="2" t="str">
        <f ca="1">IF(F557="","",F557-TODAY())</f>
        <v/>
      </c>
      <c r="H557" s="2"/>
      <c r="I557" s="2"/>
    </row>
    <row r="558" spans="1:9">
      <c r="A558" s="2"/>
      <c r="B558" s="2"/>
      <c r="C558" s="2"/>
      <c r="D558" s="2"/>
      <c r="E558" s="3"/>
      <c r="F558" s="3"/>
      <c r="G558" s="2" t="str">
        <f ca="1">IF(F558="","",F558-TODAY())</f>
        <v/>
      </c>
      <c r="H558" s="2"/>
      <c r="I558" s="2"/>
    </row>
    <row r="559" spans="1:9">
      <c r="A559" s="2"/>
      <c r="B559" s="2"/>
      <c r="C559" s="2"/>
      <c r="D559" s="2"/>
      <c r="E559" s="3"/>
      <c r="F559" s="3"/>
      <c r="G559" s="2" t="str">
        <f ca="1">IF(F559="","",F559-TODAY())</f>
        <v/>
      </c>
      <c r="H559" s="2"/>
      <c r="I559" s="2"/>
    </row>
    <row r="560" spans="1:9">
      <c r="A560" s="2"/>
      <c r="B560" s="2"/>
      <c r="C560" s="2"/>
      <c r="D560" s="2"/>
      <c r="E560" s="3"/>
      <c r="F560" s="3"/>
      <c r="G560" s="2" t="str">
        <f ca="1">IF(F560="","",F560-TODAY())</f>
        <v/>
      </c>
      <c r="H560" s="2"/>
      <c r="I560" s="2"/>
    </row>
    <row r="561" spans="1:9">
      <c r="A561" s="2"/>
      <c r="B561" s="2"/>
      <c r="C561" s="2"/>
      <c r="D561" s="2"/>
      <c r="E561" s="3"/>
      <c r="F561" s="3"/>
      <c r="G561" s="2" t="str">
        <f ca="1">IF(F561="","",F561-TODAY())</f>
        <v/>
      </c>
      <c r="H561" s="2"/>
      <c r="I561" s="2"/>
    </row>
    <row r="562" spans="1:9">
      <c r="A562" s="2"/>
      <c r="B562" s="2"/>
      <c r="C562" s="2"/>
      <c r="D562" s="2"/>
      <c r="E562" s="3"/>
      <c r="F562" s="3"/>
      <c r="G562" s="2" t="str">
        <f ca="1">IF(F562="","",F562-TODAY())</f>
        <v/>
      </c>
      <c r="H562" s="2"/>
      <c r="I562" s="2"/>
    </row>
    <row r="563" spans="1:9">
      <c r="A563" s="2"/>
      <c r="B563" s="2"/>
      <c r="C563" s="2"/>
      <c r="D563" s="2"/>
      <c r="E563" s="3"/>
      <c r="F563" s="3"/>
      <c r="G563" s="2" t="str">
        <f ca="1">IF(F563="","",F563-TODAY())</f>
        <v/>
      </c>
      <c r="H563" s="2"/>
      <c r="I563" s="2"/>
    </row>
    <row r="564" spans="1:9">
      <c r="A564" s="2"/>
      <c r="B564" s="2"/>
      <c r="C564" s="2"/>
      <c r="D564" s="2"/>
      <c r="E564" s="3"/>
      <c r="F564" s="3"/>
      <c r="G564" s="2" t="str">
        <f ca="1">IF(F564="","",F564-TODAY())</f>
        <v/>
      </c>
      <c r="H564" s="2"/>
      <c r="I564" s="2"/>
    </row>
    <row r="565" spans="1:9">
      <c r="A565" s="2"/>
      <c r="B565" s="2"/>
      <c r="C565" s="2"/>
      <c r="D565" s="2"/>
      <c r="E565" s="3"/>
      <c r="F565" s="3"/>
      <c r="G565" s="2" t="str">
        <f ca="1">IF(F565="","",F565-TODAY())</f>
        <v/>
      </c>
      <c r="H565" s="2"/>
      <c r="I565" s="2"/>
    </row>
    <row r="566" spans="1:9">
      <c r="A566" s="2"/>
      <c r="B566" s="2"/>
      <c r="C566" s="2"/>
      <c r="D566" s="2"/>
      <c r="E566" s="3"/>
      <c r="F566" s="3"/>
      <c r="G566" s="2" t="str">
        <f ca="1">IF(F566="","",F566-TODAY())</f>
        <v/>
      </c>
      <c r="H566" s="2"/>
      <c r="I566" s="2"/>
    </row>
    <row r="567" spans="1:9">
      <c r="A567" s="2"/>
      <c r="B567" s="2"/>
      <c r="C567" s="2"/>
      <c r="D567" s="2"/>
      <c r="E567" s="3"/>
      <c r="F567" s="3"/>
      <c r="G567" s="2" t="str">
        <f ca="1">IF(F567="","",F567-TODAY())</f>
        <v/>
      </c>
      <c r="H567" s="2"/>
      <c r="I567" s="2"/>
    </row>
    <row r="568" spans="1:9">
      <c r="A568" s="2"/>
      <c r="B568" s="2"/>
      <c r="C568" s="2"/>
      <c r="D568" s="2"/>
      <c r="E568" s="3"/>
      <c r="F568" s="3"/>
      <c r="G568" s="2" t="str">
        <f ca="1">IF(F568="","",F568-TODAY())</f>
        <v/>
      </c>
      <c r="H568" s="2"/>
      <c r="I568" s="2"/>
    </row>
    <row r="569" spans="1:9">
      <c r="A569" s="2"/>
      <c r="B569" s="2"/>
      <c r="C569" s="2"/>
      <c r="D569" s="2"/>
      <c r="E569" s="3"/>
      <c r="F569" s="3"/>
      <c r="G569" s="2" t="str">
        <f ca="1">IF(F569="","",F569-TODAY())</f>
        <v/>
      </c>
      <c r="H569" s="2"/>
      <c r="I569" s="2"/>
    </row>
    <row r="570" spans="1:9">
      <c r="A570" s="2"/>
      <c r="B570" s="2"/>
      <c r="C570" s="2"/>
      <c r="D570" s="2"/>
      <c r="E570" s="3"/>
      <c r="F570" s="3"/>
      <c r="G570" s="2" t="str">
        <f ca="1">IF(F570="","",F570-TODAY())</f>
        <v/>
      </c>
      <c r="H570" s="2"/>
      <c r="I570" s="2"/>
    </row>
    <row r="571" spans="1:9">
      <c r="A571" s="2"/>
      <c r="B571" s="2"/>
      <c r="C571" s="2"/>
      <c r="D571" s="2"/>
      <c r="E571" s="3"/>
      <c r="F571" s="3"/>
      <c r="G571" s="2" t="str">
        <f ca="1">IF(F571="","",F571-TODAY())</f>
        <v/>
      </c>
      <c r="H571" s="2"/>
      <c r="I571" s="2"/>
    </row>
    <row r="572" spans="1:9">
      <c r="A572" s="2"/>
      <c r="B572" s="2"/>
      <c r="C572" s="2"/>
      <c r="D572" s="2"/>
      <c r="E572" s="3"/>
      <c r="F572" s="3"/>
      <c r="G572" s="2" t="str">
        <f ca="1">IF(F572="","",F572-TODAY())</f>
        <v/>
      </c>
      <c r="H572" s="2"/>
      <c r="I572" s="2"/>
    </row>
    <row r="573" spans="1:9">
      <c r="A573" s="2"/>
      <c r="B573" s="2"/>
      <c r="C573" s="2"/>
      <c r="D573" s="2"/>
      <c r="E573" s="3"/>
      <c r="F573" s="3"/>
      <c r="G573" s="2" t="str">
        <f ca="1">IF(F573="","",F573-TODAY())</f>
        <v/>
      </c>
      <c r="H573" s="2"/>
      <c r="I573" s="2"/>
    </row>
    <row r="574" spans="1:9">
      <c r="A574" s="2"/>
      <c r="B574" s="2"/>
      <c r="C574" s="2"/>
      <c r="D574" s="2"/>
      <c r="E574" s="3"/>
      <c r="F574" s="3"/>
      <c r="G574" s="2" t="str">
        <f ca="1">IF(F574="","",F574-TODAY())</f>
        <v/>
      </c>
      <c r="H574" s="2"/>
      <c r="I574" s="2"/>
    </row>
    <row r="575" spans="1:9">
      <c r="A575" s="2"/>
      <c r="B575" s="2"/>
      <c r="C575" s="2"/>
      <c r="D575" s="2"/>
      <c r="E575" s="3"/>
      <c r="F575" s="3"/>
      <c r="G575" s="2" t="str">
        <f ca="1">IF(F575="","",F575-TODAY())</f>
        <v/>
      </c>
      <c r="H575" s="2"/>
      <c r="I575" s="2"/>
    </row>
    <row r="576" spans="1:9">
      <c r="A576" s="2"/>
      <c r="B576" s="2"/>
      <c r="C576" s="2"/>
      <c r="D576" s="2"/>
      <c r="E576" s="3"/>
      <c r="F576" s="3"/>
      <c r="G576" s="2" t="str">
        <f ca="1">IF(F576="","",F576-TODAY())</f>
        <v/>
      </c>
      <c r="H576" s="2"/>
      <c r="I576" s="2"/>
    </row>
    <row r="577" spans="1:9">
      <c r="A577" s="2"/>
      <c r="B577" s="2"/>
      <c r="C577" s="2"/>
      <c r="D577" s="2"/>
      <c r="E577" s="3"/>
      <c r="F577" s="3"/>
      <c r="G577" s="2" t="str">
        <f ca="1">IF(F577="","",F577-TODAY())</f>
        <v/>
      </c>
      <c r="H577" s="2"/>
      <c r="I577" s="2"/>
    </row>
    <row r="578" spans="1:9">
      <c r="A578" s="2"/>
      <c r="B578" s="2"/>
      <c r="C578" s="2"/>
      <c r="D578" s="2"/>
      <c r="E578" s="3"/>
      <c r="F578" s="3"/>
      <c r="G578" s="2" t="str">
        <f ca="1">IF(F578="","",F578-TODAY())</f>
        <v/>
      </c>
      <c r="H578" s="2"/>
      <c r="I578" s="2"/>
    </row>
    <row r="579" spans="1:9">
      <c r="A579" s="2"/>
      <c r="B579" s="2"/>
      <c r="C579" s="2"/>
      <c r="D579" s="2"/>
      <c r="E579" s="3"/>
      <c r="F579" s="3"/>
      <c r="G579" s="2" t="str">
        <f ca="1">IF(F579="","",F579-TODAY())</f>
        <v/>
      </c>
      <c r="H579" s="2"/>
      <c r="I579" s="2"/>
    </row>
    <row r="580" spans="1:9">
      <c r="A580" s="2"/>
      <c r="B580" s="2"/>
      <c r="C580" s="2"/>
      <c r="D580" s="2"/>
      <c r="E580" s="3"/>
      <c r="F580" s="3"/>
      <c r="G580" s="2" t="str">
        <f ca="1">IF(F580="","",F580-TODAY())</f>
        <v/>
      </c>
      <c r="H580" s="2"/>
      <c r="I580" s="2"/>
    </row>
    <row r="581" spans="1:9">
      <c r="A581" s="2"/>
      <c r="B581" s="2"/>
      <c r="C581" s="2"/>
      <c r="D581" s="2"/>
      <c r="E581" s="3"/>
      <c r="F581" s="3"/>
      <c r="G581" s="2" t="str">
        <f ca="1">IF(F581="","",F581-TODAY())</f>
        <v/>
      </c>
      <c r="H581" s="2"/>
      <c r="I581" s="2"/>
    </row>
    <row r="582" spans="1:9">
      <c r="A582" s="2"/>
      <c r="B582" s="2"/>
      <c r="C582" s="2"/>
      <c r="D582" s="2"/>
      <c r="E582" s="3"/>
      <c r="F582" s="3"/>
      <c r="G582" s="2" t="str">
        <f ca="1">IF(F582="","",F582-TODAY())</f>
        <v/>
      </c>
      <c r="H582" s="2"/>
      <c r="I582" s="2"/>
    </row>
    <row r="583" spans="1:9">
      <c r="A583" s="2"/>
      <c r="B583" s="2"/>
      <c r="C583" s="2"/>
      <c r="D583" s="2"/>
      <c r="E583" s="3"/>
      <c r="F583" s="3"/>
      <c r="G583" s="2" t="str">
        <f ca="1">IF(F583="","",F583-TODAY())</f>
        <v/>
      </c>
      <c r="H583" s="2"/>
      <c r="I583" s="2"/>
    </row>
    <row r="584" spans="1:9">
      <c r="A584" s="2"/>
      <c r="B584" s="2"/>
      <c r="C584" s="2"/>
      <c r="D584" s="2"/>
      <c r="E584" s="3"/>
      <c r="F584" s="3"/>
      <c r="G584" s="2" t="str">
        <f ca="1">IF(F584="","",F584-TODAY())</f>
        <v/>
      </c>
      <c r="H584" s="2"/>
      <c r="I584" s="2"/>
    </row>
    <row r="585" spans="1:9">
      <c r="A585" s="2"/>
      <c r="B585" s="2"/>
      <c r="C585" s="2"/>
      <c r="D585" s="2"/>
      <c r="E585" s="3"/>
      <c r="F585" s="3"/>
      <c r="G585" s="2" t="str">
        <f ca="1">IF(F585="","",F585-TODAY())</f>
        <v/>
      </c>
      <c r="H585" s="2"/>
      <c r="I585" s="2"/>
    </row>
    <row r="586" spans="1:9">
      <c r="A586" s="2"/>
      <c r="B586" s="2"/>
      <c r="C586" s="2"/>
      <c r="D586" s="2"/>
      <c r="E586" s="3"/>
      <c r="F586" s="3"/>
      <c r="G586" s="2" t="str">
        <f ca="1">IF(F586="","",F586-TODAY())</f>
        <v/>
      </c>
      <c r="H586" s="2"/>
      <c r="I586" s="2"/>
    </row>
    <row r="587" spans="1:9">
      <c r="A587" s="2"/>
      <c r="B587" s="2"/>
      <c r="C587" s="2"/>
      <c r="D587" s="2"/>
      <c r="E587" s="3"/>
      <c r="F587" s="3"/>
      <c r="G587" s="2" t="str">
        <f ca="1">IF(F587="","",F587-TODAY())</f>
        <v/>
      </c>
      <c r="H587" s="2"/>
      <c r="I587" s="2"/>
    </row>
    <row r="588" spans="1:9">
      <c r="A588" s="2"/>
      <c r="B588" s="2"/>
      <c r="C588" s="2"/>
      <c r="D588" s="2"/>
      <c r="E588" s="3"/>
      <c r="F588" s="3"/>
      <c r="G588" s="2" t="str">
        <f ca="1">IF(F588="","",F588-TODAY())</f>
        <v/>
      </c>
      <c r="H588" s="2"/>
      <c r="I588" s="2"/>
    </row>
    <row r="589" spans="1:9">
      <c r="A589" s="2"/>
      <c r="B589" s="2"/>
      <c r="C589" s="2"/>
      <c r="D589" s="2"/>
      <c r="E589" s="3"/>
      <c r="F589" s="3"/>
      <c r="G589" s="2" t="str">
        <f ca="1">IF(F589="","",F589-TODAY())</f>
        <v/>
      </c>
      <c r="H589" s="2"/>
      <c r="I589" s="2"/>
    </row>
    <row r="590" spans="1:9">
      <c r="A590" s="2"/>
      <c r="B590" s="2"/>
      <c r="C590" s="2"/>
      <c r="D590" s="2"/>
      <c r="E590" s="3"/>
      <c r="F590" s="3"/>
      <c r="G590" s="2" t="str">
        <f ca="1">IF(F590="","",F590-TODAY())</f>
        <v/>
      </c>
      <c r="H590" s="2"/>
      <c r="I590" s="2"/>
    </row>
    <row r="591" spans="1:9">
      <c r="A591" s="2"/>
      <c r="B591" s="2"/>
      <c r="C591" s="2"/>
      <c r="D591" s="2"/>
      <c r="E591" s="3"/>
      <c r="F591" s="3"/>
      <c r="G591" s="2" t="str">
        <f ca="1">IF(F591="","",F591-TODAY())</f>
        <v/>
      </c>
      <c r="H591" s="2"/>
      <c r="I591" s="2"/>
    </row>
    <row r="592" spans="1:9">
      <c r="A592" s="2"/>
      <c r="B592" s="2"/>
      <c r="C592" s="2"/>
      <c r="D592" s="2"/>
      <c r="E592" s="3"/>
      <c r="F592" s="3"/>
      <c r="G592" s="2" t="str">
        <f ca="1">IF(F592="","",F592-TODAY())</f>
        <v/>
      </c>
      <c r="H592" s="2"/>
      <c r="I592" s="2"/>
    </row>
    <row r="593" spans="1:9">
      <c r="A593" s="2"/>
      <c r="B593" s="2"/>
      <c r="C593" s="2"/>
      <c r="D593" s="2"/>
      <c r="E593" s="3"/>
      <c r="F593" s="3"/>
      <c r="G593" s="2" t="str">
        <f ca="1">IF(F593="","",F593-TODAY())</f>
        <v/>
      </c>
      <c r="H593" s="2"/>
      <c r="I593" s="2"/>
    </row>
    <row r="594" spans="1:9">
      <c r="A594" s="2"/>
      <c r="B594" s="2"/>
      <c r="C594" s="2"/>
      <c r="D594" s="2"/>
      <c r="E594" s="3"/>
      <c r="F594" s="3"/>
      <c r="G594" s="2" t="str">
        <f ca="1">IF(F594="","",F594-TODAY())</f>
        <v/>
      </c>
      <c r="H594" s="2"/>
      <c r="I594" s="2"/>
    </row>
    <row r="595" spans="1:9">
      <c r="A595" s="2"/>
      <c r="B595" s="2"/>
      <c r="C595" s="2"/>
      <c r="D595" s="2"/>
      <c r="E595" s="3"/>
      <c r="F595" s="3"/>
      <c r="G595" s="2" t="str">
        <f ca="1">IF(F595="","",F595-TODAY())</f>
        <v/>
      </c>
      <c r="H595" s="2"/>
      <c r="I595" s="2"/>
    </row>
    <row r="596" spans="1:9">
      <c r="A596" s="2"/>
      <c r="B596" s="2"/>
      <c r="C596" s="2"/>
      <c r="D596" s="2"/>
      <c r="E596" s="3"/>
      <c r="F596" s="3"/>
      <c r="G596" s="2" t="str">
        <f ca="1">IF(F596="","",F596-TODAY())</f>
        <v/>
      </c>
      <c r="H596" s="2"/>
      <c r="I596" s="2"/>
    </row>
    <row r="597" spans="1:9">
      <c r="A597" s="2"/>
      <c r="B597" s="2"/>
      <c r="C597" s="2"/>
      <c r="D597" s="2"/>
      <c r="E597" s="3"/>
      <c r="F597" s="3"/>
      <c r="G597" s="2" t="str">
        <f ca="1">IF(F597="","",F597-TODAY())</f>
        <v/>
      </c>
      <c r="H597" s="2"/>
      <c r="I597" s="2"/>
    </row>
    <row r="598" spans="1:9">
      <c r="A598" s="2"/>
      <c r="B598" s="2"/>
      <c r="C598" s="2"/>
      <c r="D598" s="2"/>
      <c r="E598" s="3"/>
      <c r="F598" s="3"/>
      <c r="G598" s="2" t="str">
        <f ca="1">IF(F598="","",F598-TODAY())</f>
        <v/>
      </c>
      <c r="H598" s="2"/>
      <c r="I598" s="2"/>
    </row>
    <row r="599" spans="1:9">
      <c r="A599" s="2"/>
      <c r="B599" s="2"/>
      <c r="C599" s="2"/>
      <c r="D599" s="2"/>
      <c r="E599" s="3"/>
      <c r="F599" s="3"/>
      <c r="G599" s="2" t="str">
        <f ca="1">IF(F599="","",F599-TODAY())</f>
        <v/>
      </c>
      <c r="H599" s="2"/>
      <c r="I599" s="2"/>
    </row>
    <row r="600" spans="1:9">
      <c r="A600" s="2"/>
      <c r="B600" s="2"/>
      <c r="C600" s="2"/>
      <c r="D600" s="2"/>
      <c r="E600" s="3"/>
      <c r="F600" s="3"/>
      <c r="G600" s="2" t="str">
        <f ca="1">IF(F600="","",F600-TODAY())</f>
        <v/>
      </c>
      <c r="H600" s="2"/>
      <c r="I600" s="2"/>
    </row>
    <row r="601" spans="1:9">
      <c r="A601" s="2"/>
      <c r="B601" s="2"/>
      <c r="C601" s="2"/>
      <c r="D601" s="2"/>
      <c r="E601" s="3"/>
      <c r="F601" s="3"/>
      <c r="G601" s="2" t="str">
        <f ca="1">IF(F601="","",F601-TODAY())</f>
        <v/>
      </c>
      <c r="H601" s="2"/>
      <c r="I601" s="2"/>
    </row>
    <row r="602" spans="1:9">
      <c r="A602" s="2"/>
      <c r="B602" s="2"/>
      <c r="C602" s="2"/>
      <c r="D602" s="2"/>
      <c r="E602" s="3"/>
      <c r="F602" s="3"/>
      <c r="G602" s="2" t="str">
        <f ca="1">IF(F602="","",F602-TODAY())</f>
        <v/>
      </c>
      <c r="H602" s="2"/>
      <c r="I602" s="2"/>
    </row>
    <row r="603" spans="1:9">
      <c r="A603" s="2"/>
      <c r="B603" s="2"/>
      <c r="C603" s="2"/>
      <c r="D603" s="2"/>
      <c r="E603" s="3"/>
      <c r="F603" s="3"/>
      <c r="G603" s="2" t="str">
        <f ca="1">IF(F603="","",F603-TODAY())</f>
        <v/>
      </c>
      <c r="H603" s="2"/>
      <c r="I603" s="2"/>
    </row>
    <row r="604" spans="1:9">
      <c r="A604" s="2"/>
      <c r="B604" s="2"/>
      <c r="C604" s="2"/>
      <c r="D604" s="2"/>
      <c r="E604" s="3"/>
      <c r="F604" s="3"/>
      <c r="G604" s="2" t="str">
        <f ca="1">IF(F604="","",F604-TODAY())</f>
        <v/>
      </c>
      <c r="H604" s="2"/>
      <c r="I604" s="2"/>
    </row>
    <row r="605" spans="1:9">
      <c r="A605" s="2"/>
      <c r="B605" s="2"/>
      <c r="C605" s="2"/>
      <c r="D605" s="2"/>
      <c r="E605" s="3"/>
      <c r="F605" s="3"/>
      <c r="G605" s="2" t="str">
        <f ca="1">IF(F605="","",F605-TODAY())</f>
        <v/>
      </c>
      <c r="H605" s="2"/>
      <c r="I605" s="2"/>
    </row>
    <row r="606" spans="1:9">
      <c r="A606" s="2"/>
      <c r="B606" s="2"/>
      <c r="C606" s="2"/>
      <c r="D606" s="2"/>
      <c r="E606" s="3"/>
      <c r="F606" s="3"/>
      <c r="G606" s="2" t="str">
        <f ca="1">IF(F606="","",F606-TODAY())</f>
        <v/>
      </c>
      <c r="H606" s="2"/>
      <c r="I606" s="2"/>
    </row>
    <row r="607" spans="1:9">
      <c r="A607" s="2"/>
      <c r="B607" s="2"/>
      <c r="C607" s="2"/>
      <c r="D607" s="2"/>
      <c r="E607" s="3"/>
      <c r="F607" s="3"/>
      <c r="G607" s="2" t="str">
        <f ca="1">IF(F607="","",F607-TODAY())</f>
        <v/>
      </c>
      <c r="H607" s="2"/>
      <c r="I607" s="2"/>
    </row>
    <row r="608" spans="1:9">
      <c r="A608" s="2"/>
      <c r="B608" s="2"/>
      <c r="C608" s="2"/>
      <c r="D608" s="2"/>
      <c r="E608" s="3"/>
      <c r="F608" s="3"/>
      <c r="G608" s="2" t="str">
        <f ca="1">IF(F608="","",F608-TODAY())</f>
        <v/>
      </c>
      <c r="H608" s="2"/>
      <c r="I608" s="2"/>
    </row>
    <row r="609" spans="1:9">
      <c r="A609" s="2"/>
      <c r="B609" s="2"/>
      <c r="C609" s="2"/>
      <c r="D609" s="2"/>
      <c r="E609" s="3"/>
      <c r="F609" s="3"/>
      <c r="G609" s="2" t="str">
        <f ca="1">IF(F609="","",F609-TODAY())</f>
        <v/>
      </c>
      <c r="H609" s="2"/>
      <c r="I609" s="2"/>
    </row>
    <row r="610" spans="1:9">
      <c r="A610" s="2"/>
      <c r="B610" s="2"/>
      <c r="C610" s="2"/>
      <c r="D610" s="2"/>
      <c r="E610" s="3"/>
      <c r="F610" s="3"/>
      <c r="G610" s="2" t="str">
        <f ca="1">IF(F610="","",F610-TODAY())</f>
        <v/>
      </c>
      <c r="H610" s="2"/>
      <c r="I610" s="2"/>
    </row>
    <row r="611" spans="1:9">
      <c r="A611" s="2"/>
      <c r="B611" s="2"/>
      <c r="C611" s="2"/>
      <c r="D611" s="2"/>
      <c r="E611" s="3"/>
      <c r="F611" s="3"/>
      <c r="G611" s="2" t="str">
        <f ca="1">IF(F611="","",F611-TODAY())</f>
        <v/>
      </c>
      <c r="H611" s="2"/>
      <c r="I611" s="2"/>
    </row>
    <row r="612" spans="1:9">
      <c r="A612" s="2"/>
      <c r="B612" s="2"/>
      <c r="C612" s="2"/>
      <c r="D612" s="2"/>
      <c r="E612" s="3"/>
      <c r="F612" s="3"/>
      <c r="G612" s="2" t="str">
        <f ca="1">IF(F612="","",F612-TODAY())</f>
        <v/>
      </c>
      <c r="H612" s="2"/>
      <c r="I612" s="2"/>
    </row>
    <row r="613" spans="1:9">
      <c r="A613" s="2"/>
      <c r="B613" s="2"/>
      <c r="C613" s="2"/>
      <c r="D613" s="2"/>
      <c r="E613" s="3"/>
      <c r="F613" s="3"/>
      <c r="G613" s="2" t="str">
        <f ca="1">IF(F613="","",F613-TODAY())</f>
        <v/>
      </c>
      <c r="H613" s="2"/>
      <c r="I613" s="2"/>
    </row>
    <row r="614" spans="1:9">
      <c r="A614" s="2"/>
      <c r="B614" s="2"/>
      <c r="C614" s="2"/>
      <c r="D614" s="2"/>
      <c r="E614" s="3"/>
      <c r="F614" s="3"/>
      <c r="G614" s="2" t="str">
        <f ca="1">IF(F614="","",F614-TODAY())</f>
        <v/>
      </c>
      <c r="H614" s="2"/>
      <c r="I614" s="2"/>
    </row>
    <row r="615" spans="1:9">
      <c r="A615" s="2"/>
      <c r="B615" s="2"/>
      <c r="C615" s="2"/>
      <c r="D615" s="2"/>
      <c r="E615" s="3"/>
      <c r="F615" s="3"/>
      <c r="G615" s="2" t="str">
        <f ca="1">IF(F615="","",F615-TODAY())</f>
        <v/>
      </c>
      <c r="H615" s="2"/>
      <c r="I615" s="2"/>
    </row>
    <row r="616" spans="1:9">
      <c r="A616" s="2"/>
      <c r="B616" s="2"/>
      <c r="C616" s="2"/>
      <c r="D616" s="2"/>
      <c r="E616" s="3"/>
      <c r="F616" s="3"/>
      <c r="G616" s="2" t="str">
        <f ca="1">IF(F616="","",F616-TODAY())</f>
        <v/>
      </c>
      <c r="H616" s="2"/>
      <c r="I616" s="2"/>
    </row>
    <row r="617" spans="1:9">
      <c r="A617" s="2"/>
      <c r="B617" s="2"/>
      <c r="C617" s="2"/>
      <c r="D617" s="2"/>
      <c r="E617" s="3"/>
      <c r="F617" s="3"/>
      <c r="G617" s="2" t="str">
        <f ca="1">IF(F617="","",F617-TODAY())</f>
        <v/>
      </c>
      <c r="H617" s="2"/>
      <c r="I617" s="2"/>
    </row>
    <row r="618" spans="1:9">
      <c r="A618" s="2"/>
      <c r="B618" s="2"/>
      <c r="C618" s="2"/>
      <c r="D618" s="2"/>
      <c r="E618" s="3"/>
      <c r="F618" s="3"/>
      <c r="G618" s="2" t="str">
        <f ca="1">IF(F618="","",F618-TODAY())</f>
        <v/>
      </c>
      <c r="H618" s="2"/>
      <c r="I618" s="2"/>
    </row>
    <row r="619" spans="1:9">
      <c r="A619" s="2"/>
      <c r="B619" s="2"/>
      <c r="C619" s="2"/>
      <c r="D619" s="2"/>
      <c r="E619" s="3"/>
      <c r="F619" s="3"/>
      <c r="G619" s="2" t="str">
        <f ca="1">IF(F619="","",F619-TODAY())</f>
        <v/>
      </c>
      <c r="H619" s="2"/>
      <c r="I619" s="2"/>
    </row>
    <row r="620" spans="1:9">
      <c r="A620" s="2"/>
      <c r="B620" s="2"/>
      <c r="C620" s="2"/>
      <c r="D620" s="2"/>
      <c r="E620" s="3"/>
      <c r="F620" s="3"/>
      <c r="G620" s="2" t="str">
        <f ca="1">IF(F620="","",F620-TODAY())</f>
        <v/>
      </c>
      <c r="H620" s="2"/>
      <c r="I620" s="2"/>
    </row>
    <row r="621" spans="1:9">
      <c r="A621" s="2"/>
      <c r="B621" s="2"/>
      <c r="C621" s="2"/>
      <c r="D621" s="2"/>
      <c r="E621" s="3"/>
      <c r="F621" s="3"/>
      <c r="G621" s="2" t="str">
        <f ca="1">IF(F621="","",F621-TODAY())</f>
        <v/>
      </c>
      <c r="H621" s="2"/>
      <c r="I621" s="2"/>
    </row>
    <row r="622" spans="1:9">
      <c r="A622" s="2"/>
      <c r="B622" s="2"/>
      <c r="C622" s="2"/>
      <c r="D622" s="2"/>
      <c r="E622" s="3"/>
      <c r="F622" s="3"/>
      <c r="G622" s="2" t="str">
        <f ca="1">IF(F622="","",F622-TODAY())</f>
        <v/>
      </c>
      <c r="H622" s="2"/>
      <c r="I622" s="2"/>
    </row>
    <row r="623" spans="1:9">
      <c r="A623" s="2"/>
      <c r="B623" s="2"/>
      <c r="C623" s="2"/>
      <c r="D623" s="2"/>
      <c r="E623" s="3"/>
      <c r="F623" s="3"/>
      <c r="G623" s="2" t="str">
        <f ca="1">IF(F623="","",F623-TODAY())</f>
        <v/>
      </c>
      <c r="H623" s="2"/>
      <c r="I623" s="2"/>
    </row>
    <row r="624" spans="1:9">
      <c r="A624" s="2"/>
      <c r="B624" s="2"/>
      <c r="C624" s="2"/>
      <c r="D624" s="2"/>
      <c r="E624" s="3"/>
      <c r="F624" s="3"/>
      <c r="G624" s="2" t="str">
        <f ca="1">IF(F624="","",F624-TODAY())</f>
        <v/>
      </c>
      <c r="H624" s="2"/>
      <c r="I624" s="2"/>
    </row>
    <row r="625" spans="1:9">
      <c r="A625" s="2"/>
      <c r="B625" s="2"/>
      <c r="C625" s="2"/>
      <c r="D625" s="2"/>
      <c r="E625" s="3"/>
      <c r="F625" s="3"/>
      <c r="G625" s="2" t="str">
        <f ca="1">IF(F625="","",F625-TODAY())</f>
        <v/>
      </c>
      <c r="H625" s="2"/>
      <c r="I625" s="2"/>
    </row>
    <row r="626" spans="1:9">
      <c r="A626" s="2"/>
      <c r="B626" s="2"/>
      <c r="C626" s="2"/>
      <c r="D626" s="2"/>
      <c r="E626" s="3"/>
      <c r="F626" s="3"/>
      <c r="G626" s="2" t="str">
        <f ca="1">IF(F626="","",F626-TODAY())</f>
        <v/>
      </c>
      <c r="H626" s="2"/>
      <c r="I626" s="2"/>
    </row>
    <row r="627" spans="1:9">
      <c r="A627" s="2"/>
      <c r="B627" s="2"/>
      <c r="C627" s="2"/>
      <c r="D627" s="2"/>
      <c r="E627" s="3"/>
      <c r="F627" s="3"/>
      <c r="G627" s="2" t="str">
        <f ca="1">IF(F627="","",F627-TODAY())</f>
        <v/>
      </c>
      <c r="H627" s="2"/>
      <c r="I627" s="2"/>
    </row>
    <row r="628" spans="1:9">
      <c r="A628" s="2"/>
      <c r="B628" s="2"/>
      <c r="C628" s="2"/>
      <c r="D628" s="2"/>
      <c r="E628" s="3"/>
      <c r="F628" s="3"/>
      <c r="G628" s="2" t="str">
        <f ca="1">IF(F628="","",F628-TODAY())</f>
        <v/>
      </c>
      <c r="H628" s="2"/>
      <c r="I628" s="2"/>
    </row>
    <row r="629" spans="1:9">
      <c r="A629" s="2"/>
      <c r="B629" s="2"/>
      <c r="C629" s="2"/>
      <c r="D629" s="2"/>
      <c r="E629" s="3"/>
      <c r="F629" s="3"/>
      <c r="G629" s="2" t="str">
        <f ca="1">IF(F629="","",F629-TODAY())</f>
        <v/>
      </c>
      <c r="H629" s="2"/>
      <c r="I629" s="2"/>
    </row>
    <row r="630" spans="1:9">
      <c r="A630" s="2"/>
      <c r="B630" s="2"/>
      <c r="C630" s="2"/>
      <c r="D630" s="2"/>
      <c r="E630" s="3"/>
      <c r="F630" s="3"/>
      <c r="G630" s="2" t="str">
        <f ca="1">IF(F630="","",F630-TODAY())</f>
        <v/>
      </c>
      <c r="H630" s="2"/>
      <c r="I630" s="2"/>
    </row>
    <row r="631" spans="1:9">
      <c r="A631" s="2"/>
      <c r="B631" s="2"/>
      <c r="C631" s="2"/>
      <c r="D631" s="2"/>
      <c r="E631" s="3"/>
      <c r="F631" s="3"/>
      <c r="G631" s="2" t="str">
        <f ca="1">IF(F631="","",F631-TODAY())</f>
        <v/>
      </c>
      <c r="H631" s="2"/>
      <c r="I631" s="2"/>
    </row>
    <row r="632" spans="1:9">
      <c r="A632" s="2"/>
      <c r="B632" s="2"/>
      <c r="C632" s="2"/>
      <c r="D632" s="2"/>
      <c r="E632" s="3"/>
      <c r="F632" s="3"/>
      <c r="G632" s="2" t="str">
        <f ca="1">IF(F632="","",F632-TODAY())</f>
        <v/>
      </c>
      <c r="H632" s="2"/>
      <c r="I632" s="2"/>
    </row>
    <row r="633" spans="1:9">
      <c r="A633" s="2"/>
      <c r="B633" s="2"/>
      <c r="C633" s="2"/>
      <c r="D633" s="2"/>
      <c r="E633" s="3"/>
      <c r="F633" s="3"/>
      <c r="G633" s="2" t="str">
        <f ca="1">IF(F633="","",F633-TODAY())</f>
        <v/>
      </c>
      <c r="H633" s="2"/>
      <c r="I633" s="2"/>
    </row>
    <row r="634" spans="1:9">
      <c r="A634" s="2"/>
      <c r="B634" s="2"/>
      <c r="C634" s="2"/>
      <c r="D634" s="2"/>
      <c r="E634" s="3"/>
      <c r="F634" s="3"/>
      <c r="G634" s="2" t="str">
        <f ca="1">IF(F634="","",F634-TODAY())</f>
        <v/>
      </c>
      <c r="H634" s="2"/>
      <c r="I634" s="2"/>
    </row>
    <row r="635" spans="1:9">
      <c r="A635" s="2"/>
      <c r="B635" s="2"/>
      <c r="C635" s="2"/>
      <c r="D635" s="2"/>
      <c r="E635" s="3"/>
      <c r="F635" s="3"/>
      <c r="G635" s="2" t="str">
        <f ca="1">IF(F635="","",F635-TODAY())</f>
        <v/>
      </c>
      <c r="H635" s="2"/>
      <c r="I635" s="2"/>
    </row>
    <row r="636" spans="1:9">
      <c r="A636" s="2"/>
      <c r="B636" s="2"/>
      <c r="C636" s="2"/>
      <c r="D636" s="2"/>
      <c r="E636" s="3"/>
      <c r="F636" s="3"/>
      <c r="G636" s="2" t="str">
        <f ca="1">IF(F636="","",F636-TODAY())</f>
        <v/>
      </c>
      <c r="H636" s="2"/>
      <c r="I636" s="2"/>
    </row>
    <row r="637" spans="1:9">
      <c r="A637" s="2"/>
      <c r="B637" s="2"/>
      <c r="C637" s="2"/>
      <c r="D637" s="2"/>
      <c r="E637" s="3"/>
      <c r="F637" s="3"/>
      <c r="G637" s="2" t="str">
        <f ca="1">IF(F637="","",F637-TODAY())</f>
        <v/>
      </c>
      <c r="H637" s="2"/>
      <c r="I637" s="2"/>
    </row>
    <row r="638" spans="1:9">
      <c r="A638" s="2"/>
      <c r="B638" s="2"/>
      <c r="C638" s="2"/>
      <c r="D638" s="2"/>
      <c r="E638" s="3"/>
      <c r="F638" s="3"/>
      <c r="G638" s="2" t="str">
        <f ca="1">IF(F638="","",F638-TODAY())</f>
        <v/>
      </c>
      <c r="H638" s="2"/>
      <c r="I638" s="2"/>
    </row>
    <row r="639" spans="1:9">
      <c r="A639" s="2"/>
      <c r="B639" s="2"/>
      <c r="C639" s="2"/>
      <c r="D639" s="2"/>
      <c r="E639" s="3"/>
      <c r="F639" s="3"/>
      <c r="G639" s="2" t="str">
        <f ca="1">IF(F639="","",F639-TODAY())</f>
        <v/>
      </c>
      <c r="H639" s="2"/>
      <c r="I639" s="2"/>
    </row>
    <row r="640" spans="1:9">
      <c r="A640" s="2"/>
      <c r="B640" s="2"/>
      <c r="C640" s="2"/>
      <c r="D640" s="2"/>
      <c r="E640" s="3"/>
      <c r="F640" s="3"/>
      <c r="G640" s="2" t="str">
        <f ca="1">IF(F640="","",F640-TODAY())</f>
        <v/>
      </c>
      <c r="H640" s="2"/>
      <c r="I640" s="2"/>
    </row>
    <row r="641" spans="1:9">
      <c r="A641" s="2"/>
      <c r="B641" s="2"/>
      <c r="C641" s="2"/>
      <c r="D641" s="2"/>
      <c r="E641" s="3"/>
      <c r="F641" s="3"/>
      <c r="G641" s="2" t="str">
        <f ca="1">IF(F641="","",F641-TODAY())</f>
        <v/>
      </c>
      <c r="H641" s="2"/>
      <c r="I641" s="2"/>
    </row>
    <row r="642" spans="1:9">
      <c r="A642" s="2"/>
      <c r="B642" s="2"/>
      <c r="C642" s="2"/>
      <c r="D642" s="2"/>
      <c r="E642" s="3"/>
      <c r="F642" s="3"/>
      <c r="G642" s="2" t="str">
        <f ca="1">IF(F642="","",F642-TODAY())</f>
        <v/>
      </c>
      <c r="H642" s="2"/>
      <c r="I642" s="2"/>
    </row>
    <row r="643" spans="1:9">
      <c r="A643" s="2"/>
      <c r="B643" s="2"/>
      <c r="C643" s="2"/>
      <c r="D643" s="2"/>
      <c r="E643" s="3"/>
      <c r="F643" s="3"/>
      <c r="G643" s="2" t="str">
        <f ca="1">IF(F643="","",F643-TODAY())</f>
        <v/>
      </c>
      <c r="H643" s="2"/>
      <c r="I643" s="2"/>
    </row>
    <row r="644" spans="1:9">
      <c r="A644" s="2"/>
      <c r="B644" s="2"/>
      <c r="C644" s="2"/>
      <c r="D644" s="2"/>
      <c r="E644" s="3"/>
      <c r="F644" s="3"/>
      <c r="G644" s="2" t="str">
        <f ca="1">IF(F644="","",F644-TODAY())</f>
        <v/>
      </c>
      <c r="H644" s="2"/>
      <c r="I644" s="2"/>
    </row>
    <row r="645" spans="1:9">
      <c r="A645" s="2"/>
      <c r="B645" s="2"/>
      <c r="C645" s="2"/>
      <c r="D645" s="2"/>
      <c r="E645" s="3"/>
      <c r="F645" s="3"/>
      <c r="G645" s="2" t="str">
        <f ca="1">IF(F645="","",F645-TODAY())</f>
        <v/>
      </c>
      <c r="H645" s="2"/>
      <c r="I645" s="2"/>
    </row>
    <row r="646" spans="1:9">
      <c r="A646" s="2"/>
      <c r="B646" s="2"/>
      <c r="C646" s="2"/>
      <c r="D646" s="2"/>
      <c r="E646" s="3"/>
      <c r="F646" s="3"/>
      <c r="G646" s="2" t="str">
        <f ca="1">IF(F646="","",F646-TODAY())</f>
        <v/>
      </c>
      <c r="H646" s="2"/>
      <c r="I646" s="2"/>
    </row>
    <row r="647" spans="1:9">
      <c r="A647" s="2"/>
      <c r="B647" s="2"/>
      <c r="C647" s="2"/>
      <c r="D647" s="2"/>
      <c r="E647" s="3"/>
      <c r="F647" s="3"/>
      <c r="G647" s="2" t="str">
        <f ca="1">IF(F647="","",F647-TODAY())</f>
        <v/>
      </c>
      <c r="H647" s="2"/>
      <c r="I647" s="2"/>
    </row>
    <row r="648" spans="1:9">
      <c r="A648" s="2"/>
      <c r="B648" s="2"/>
      <c r="C648" s="2"/>
      <c r="D648" s="2"/>
      <c r="E648" s="3"/>
      <c r="F648" s="3"/>
      <c r="G648" s="2" t="str">
        <f ca="1">IF(F648="","",F648-TODAY())</f>
        <v/>
      </c>
      <c r="H648" s="2"/>
      <c r="I648" s="2"/>
    </row>
    <row r="649" spans="1:9">
      <c r="A649" s="2"/>
      <c r="B649" s="2"/>
      <c r="C649" s="2"/>
      <c r="D649" s="2"/>
      <c r="E649" s="3"/>
      <c r="F649" s="3"/>
      <c r="G649" s="2" t="str">
        <f ca="1">IF(F649="","",F649-TODAY())</f>
        <v/>
      </c>
      <c r="H649" s="2"/>
      <c r="I649" s="2"/>
    </row>
    <row r="650" spans="1:9">
      <c r="A650" s="2"/>
      <c r="B650" s="2"/>
      <c r="C650" s="2"/>
      <c r="D650" s="2"/>
      <c r="E650" s="3"/>
      <c r="F650" s="3"/>
      <c r="G650" s="2" t="str">
        <f ca="1">IF(F650="","",F650-TODAY())</f>
        <v/>
      </c>
      <c r="H650" s="2"/>
      <c r="I650" s="2"/>
    </row>
    <row r="651" spans="1:9">
      <c r="A651" s="2"/>
      <c r="B651" s="2"/>
      <c r="C651" s="2"/>
      <c r="D651" s="2"/>
      <c r="E651" s="3"/>
      <c r="F651" s="3"/>
      <c r="G651" s="2" t="str">
        <f ca="1">IF(F651="","",F651-TODAY())</f>
        <v/>
      </c>
      <c r="H651" s="2"/>
      <c r="I651" s="2"/>
    </row>
    <row r="652" spans="1:9">
      <c r="A652" s="2"/>
      <c r="B652" s="2"/>
      <c r="C652" s="2"/>
      <c r="D652" s="2"/>
      <c r="E652" s="3"/>
      <c r="F652" s="3"/>
      <c r="G652" s="2" t="str">
        <f ca="1">IF(F652="","",F652-TODAY())</f>
        <v/>
      </c>
      <c r="H652" s="2"/>
      <c r="I652" s="2"/>
    </row>
    <row r="653" spans="1:9">
      <c r="A653" s="2"/>
      <c r="B653" s="2"/>
      <c r="C653" s="2"/>
      <c r="D653" s="2"/>
      <c r="E653" s="3"/>
      <c r="F653" s="3"/>
      <c r="G653" s="2" t="str">
        <f ca="1">IF(F653="","",F653-TODAY())</f>
        <v/>
      </c>
      <c r="H653" s="2"/>
      <c r="I653" s="2"/>
    </row>
    <row r="654" spans="1:9">
      <c r="A654" s="2"/>
      <c r="B654" s="2"/>
      <c r="C654" s="2"/>
      <c r="D654" s="2"/>
      <c r="E654" s="3"/>
      <c r="F654" s="3"/>
      <c r="G654" s="2" t="str">
        <f ca="1">IF(F654="","",F654-TODAY())</f>
        <v/>
      </c>
      <c r="H654" s="2"/>
      <c r="I654" s="2"/>
    </row>
    <row r="655" spans="1:9">
      <c r="A655" s="2"/>
      <c r="B655" s="2"/>
      <c r="C655" s="2"/>
      <c r="D655" s="2"/>
      <c r="E655" s="3"/>
      <c r="F655" s="3"/>
      <c r="G655" s="2" t="str">
        <f ca="1">IF(F655="","",F655-TODAY())</f>
        <v/>
      </c>
      <c r="H655" s="2"/>
      <c r="I655" s="2"/>
    </row>
    <row r="656" spans="1:9">
      <c r="A656" s="2"/>
      <c r="B656" s="2"/>
      <c r="C656" s="2"/>
      <c r="D656" s="2"/>
      <c r="E656" s="3"/>
      <c r="F656" s="3"/>
      <c r="G656" s="2" t="str">
        <f ca="1">IF(F656="","",F656-TODAY())</f>
        <v/>
      </c>
      <c r="H656" s="2"/>
      <c r="I656" s="2"/>
    </row>
    <row r="657" spans="1:9">
      <c r="A657" s="2"/>
      <c r="B657" s="2"/>
      <c r="C657" s="2"/>
      <c r="D657" s="2"/>
      <c r="E657" s="3"/>
      <c r="F657" s="3"/>
      <c r="G657" s="2" t="str">
        <f ca="1">IF(F657="","",F657-TODAY())</f>
        <v/>
      </c>
      <c r="H657" s="2"/>
      <c r="I657" s="2"/>
    </row>
    <row r="658" spans="1:9">
      <c r="A658" s="2"/>
      <c r="B658" s="2"/>
      <c r="C658" s="2"/>
      <c r="D658" s="2"/>
      <c r="E658" s="3"/>
      <c r="F658" s="3"/>
      <c r="G658" s="2" t="str">
        <f ca="1">IF(F658="","",F658-TODAY())</f>
        <v/>
      </c>
      <c r="H658" s="2"/>
      <c r="I658" s="2"/>
    </row>
    <row r="659" spans="1:9">
      <c r="A659" s="2"/>
      <c r="B659" s="2"/>
      <c r="C659" s="2"/>
      <c r="D659" s="2"/>
      <c r="E659" s="3"/>
      <c r="F659" s="3"/>
      <c r="G659" s="2" t="str">
        <f ca="1">IF(F659="","",F659-TODAY())</f>
        <v/>
      </c>
      <c r="H659" s="2"/>
      <c r="I659" s="2"/>
    </row>
    <row r="660" spans="1:9">
      <c r="A660" s="2"/>
      <c r="B660" s="2"/>
      <c r="C660" s="2"/>
      <c r="D660" s="2"/>
      <c r="E660" s="3"/>
      <c r="F660" s="3"/>
      <c r="G660" s="2" t="str">
        <f ca="1">IF(F660="","",F660-TODAY())</f>
        <v/>
      </c>
      <c r="H660" s="2"/>
      <c r="I660" s="2"/>
    </row>
    <row r="661" spans="1:9">
      <c r="A661" s="2"/>
      <c r="B661" s="2"/>
      <c r="C661" s="2"/>
      <c r="D661" s="2"/>
      <c r="E661" s="3"/>
      <c r="F661" s="3"/>
      <c r="G661" s="2" t="str">
        <f ca="1">IF(F661="","",F661-TODAY())</f>
        <v/>
      </c>
      <c r="H661" s="2"/>
      <c r="I661" s="2"/>
    </row>
    <row r="662" spans="1:9">
      <c r="A662" s="2"/>
      <c r="B662" s="2"/>
      <c r="C662" s="2"/>
      <c r="D662" s="2"/>
      <c r="E662" s="3"/>
      <c r="F662" s="3"/>
      <c r="G662" s="2" t="str">
        <f ca="1">IF(F662="","",F662-TODAY())</f>
        <v/>
      </c>
      <c r="H662" s="2"/>
      <c r="I662" s="2"/>
    </row>
    <row r="663" spans="1:9">
      <c r="A663" s="2"/>
      <c r="B663" s="2"/>
      <c r="C663" s="2"/>
      <c r="D663" s="2"/>
      <c r="E663" s="3"/>
      <c r="F663" s="3"/>
      <c r="G663" s="2" t="str">
        <f ca="1">IF(F663="","",F663-TODAY())</f>
        <v/>
      </c>
      <c r="H663" s="2"/>
      <c r="I663" s="2"/>
    </row>
    <row r="664" spans="1:9">
      <c r="A664" s="2"/>
      <c r="B664" s="2"/>
      <c r="C664" s="2"/>
      <c r="D664" s="2"/>
      <c r="E664" s="3"/>
      <c r="F664" s="3"/>
      <c r="G664" s="2" t="str">
        <f ca="1">IF(F664="","",F664-TODAY())</f>
        <v/>
      </c>
      <c r="H664" s="2"/>
      <c r="I664" s="2"/>
    </row>
    <row r="665" spans="1:9">
      <c r="A665" s="2"/>
      <c r="B665" s="2"/>
      <c r="C665" s="2"/>
      <c r="D665" s="2"/>
      <c r="E665" s="3"/>
      <c r="F665" s="3"/>
      <c r="G665" s="2" t="str">
        <f ca="1">IF(F665="","",F665-TODAY())</f>
        <v/>
      </c>
      <c r="H665" s="2"/>
      <c r="I665" s="2"/>
    </row>
    <row r="666" spans="1:9">
      <c r="A666" s="2"/>
      <c r="B666" s="2"/>
      <c r="C666" s="2"/>
      <c r="D666" s="2"/>
      <c r="E666" s="3"/>
      <c r="F666" s="3"/>
      <c r="G666" s="2" t="str">
        <f ca="1">IF(F666="","",F666-TODAY())</f>
        <v/>
      </c>
      <c r="H666" s="2"/>
      <c r="I666" s="2"/>
    </row>
    <row r="667" spans="1:9">
      <c r="A667" s="2"/>
      <c r="B667" s="2"/>
      <c r="C667" s="2"/>
      <c r="D667" s="2"/>
      <c r="E667" s="3"/>
      <c r="F667" s="3"/>
      <c r="G667" s="2" t="str">
        <f ca="1">IF(F667="","",F667-TODAY())</f>
        <v/>
      </c>
      <c r="H667" s="2"/>
      <c r="I667" s="2"/>
    </row>
    <row r="668" spans="1:9">
      <c r="A668" s="2"/>
      <c r="B668" s="2"/>
      <c r="C668" s="2"/>
      <c r="D668" s="2"/>
      <c r="E668" s="3"/>
      <c r="F668" s="3"/>
      <c r="G668" s="2" t="str">
        <f ca="1">IF(F668="","",F668-TODAY())</f>
        <v/>
      </c>
      <c r="H668" s="2"/>
      <c r="I668" s="2"/>
    </row>
    <row r="669" spans="1:9">
      <c r="A669" s="2"/>
      <c r="B669" s="2"/>
      <c r="C669" s="2"/>
      <c r="D669" s="2"/>
      <c r="E669" s="3"/>
      <c r="F669" s="3"/>
      <c r="G669" s="2" t="str">
        <f ca="1">IF(F669="","",F669-TODAY())</f>
        <v/>
      </c>
      <c r="H669" s="2"/>
      <c r="I669" s="2"/>
    </row>
    <row r="670" spans="1:9">
      <c r="A670" s="2"/>
      <c r="B670" s="2"/>
      <c r="C670" s="2"/>
      <c r="D670" s="2"/>
      <c r="E670" s="3"/>
      <c r="F670" s="3"/>
      <c r="G670" s="2" t="str">
        <f ca="1">IF(F670="","",F670-TODAY())</f>
        <v/>
      </c>
      <c r="H670" s="2"/>
      <c r="I670" s="2"/>
    </row>
    <row r="671" spans="1:9">
      <c r="A671" s="2"/>
      <c r="B671" s="2"/>
      <c r="C671" s="2"/>
      <c r="D671" s="2"/>
      <c r="E671" s="3"/>
      <c r="F671" s="3"/>
      <c r="G671" s="2" t="str">
        <f ca="1">IF(F671="","",F671-TODAY())</f>
        <v/>
      </c>
      <c r="H671" s="2"/>
      <c r="I671" s="2"/>
    </row>
    <row r="672" spans="1:9">
      <c r="A672" s="2"/>
      <c r="B672" s="2"/>
      <c r="C672" s="2"/>
      <c r="D672" s="2"/>
      <c r="E672" s="3"/>
      <c r="F672" s="3"/>
      <c r="G672" s="2" t="str">
        <f ca="1">IF(F672="","",F672-TODAY())</f>
        <v/>
      </c>
      <c r="H672" s="2"/>
      <c r="I672" s="2"/>
    </row>
    <row r="673" spans="1:9">
      <c r="A673" s="2"/>
      <c r="B673" s="2"/>
      <c r="C673" s="2"/>
      <c r="D673" s="2"/>
      <c r="E673" s="3"/>
      <c r="F673" s="3"/>
      <c r="G673" s="2" t="str">
        <f ca="1">IF(F673="","",F673-TODAY())</f>
        <v/>
      </c>
      <c r="H673" s="2"/>
      <c r="I673" s="2"/>
    </row>
    <row r="674" spans="1:9">
      <c r="A674" s="2"/>
      <c r="B674" s="2"/>
      <c r="C674" s="2"/>
      <c r="D674" s="2"/>
      <c r="E674" s="3"/>
      <c r="F674" s="3"/>
      <c r="G674" s="2" t="str">
        <f ca="1">IF(F674="","",F674-TODAY())</f>
        <v/>
      </c>
      <c r="H674" s="2"/>
      <c r="I674" s="2"/>
    </row>
    <row r="675" spans="1:9">
      <c r="A675" s="2"/>
      <c r="B675" s="2"/>
      <c r="C675" s="2"/>
      <c r="D675" s="2"/>
      <c r="E675" s="3"/>
      <c r="F675" s="3"/>
      <c r="G675" s="2" t="str">
        <f ca="1">IF(F675="","",F675-TODAY())</f>
        <v/>
      </c>
      <c r="H675" s="2"/>
      <c r="I675" s="2"/>
    </row>
    <row r="676" spans="1:9">
      <c r="A676" s="2"/>
      <c r="B676" s="2"/>
      <c r="C676" s="2"/>
      <c r="D676" s="2"/>
      <c r="E676" s="3"/>
      <c r="F676" s="3"/>
      <c r="G676" s="2" t="str">
        <f ca="1">IF(F676="","",F676-TODAY())</f>
        <v/>
      </c>
      <c r="H676" s="2"/>
      <c r="I676" s="2"/>
    </row>
    <row r="677" spans="1:9">
      <c r="A677" s="2"/>
      <c r="B677" s="2"/>
      <c r="C677" s="2"/>
      <c r="D677" s="2"/>
      <c r="E677" s="3"/>
      <c r="F677" s="3"/>
      <c r="G677" s="2" t="str">
        <f ca="1">IF(F677="","",F677-TODAY())</f>
        <v/>
      </c>
      <c r="H677" s="2"/>
      <c r="I677" s="2"/>
    </row>
    <row r="678" spans="1:9">
      <c r="A678" s="2"/>
      <c r="B678" s="2"/>
      <c r="C678" s="2"/>
      <c r="D678" s="2"/>
      <c r="E678" s="3"/>
      <c r="F678" s="3"/>
      <c r="G678" s="2" t="str">
        <f ca="1">IF(F678="","",F678-TODAY())</f>
        <v/>
      </c>
      <c r="H678" s="2"/>
      <c r="I678" s="2"/>
    </row>
    <row r="679" spans="1:9">
      <c r="A679" s="2"/>
      <c r="B679" s="2"/>
      <c r="C679" s="2"/>
      <c r="D679" s="2"/>
      <c r="E679" s="3"/>
      <c r="F679" s="3"/>
      <c r="G679" s="2" t="str">
        <f ca="1">IF(F679="","",F679-TODAY())</f>
        <v/>
      </c>
      <c r="H679" s="2"/>
      <c r="I679" s="2"/>
    </row>
    <row r="680" spans="1:9">
      <c r="A680" s="2"/>
      <c r="B680" s="2"/>
      <c r="C680" s="2"/>
      <c r="D680" s="2"/>
      <c r="E680" s="3"/>
      <c r="F680" s="3"/>
      <c r="G680" s="2" t="str">
        <f ca="1">IF(F680="","",F680-TODAY())</f>
        <v/>
      </c>
      <c r="H680" s="2"/>
      <c r="I680" s="2"/>
    </row>
    <row r="681" spans="1:9">
      <c r="A681" s="2"/>
      <c r="B681" s="2"/>
      <c r="C681" s="2"/>
      <c r="D681" s="2"/>
      <c r="E681" s="3"/>
      <c r="F681" s="3"/>
      <c r="G681" s="2" t="str">
        <f ca="1">IF(F681="","",F681-TODAY())</f>
        <v/>
      </c>
      <c r="H681" s="2"/>
      <c r="I681" s="2"/>
    </row>
    <row r="682" spans="1:9">
      <c r="A682" s="2"/>
      <c r="B682" s="2"/>
      <c r="C682" s="2"/>
      <c r="D682" s="2"/>
      <c r="E682" s="3"/>
      <c r="F682" s="3"/>
      <c r="G682" s="2" t="str">
        <f ca="1">IF(F682="","",F682-TODAY())</f>
        <v/>
      </c>
      <c r="H682" s="2"/>
      <c r="I682" s="2"/>
    </row>
    <row r="683" spans="1:9">
      <c r="A683" s="2"/>
      <c r="B683" s="2"/>
      <c r="C683" s="2"/>
      <c r="D683" s="2"/>
      <c r="E683" s="3"/>
      <c r="F683" s="3"/>
      <c r="G683" s="2" t="str">
        <f ca="1">IF(F683="","",F683-TODAY())</f>
        <v/>
      </c>
      <c r="H683" s="2"/>
      <c r="I683" s="2"/>
    </row>
    <row r="684" spans="1:9">
      <c r="A684" s="2"/>
      <c r="B684" s="2"/>
      <c r="C684" s="2"/>
      <c r="D684" s="2"/>
      <c r="E684" s="3"/>
      <c r="F684" s="3"/>
      <c r="G684" s="2" t="str">
        <f ca="1">IF(F684="","",F684-TODAY())</f>
        <v/>
      </c>
      <c r="H684" s="2"/>
      <c r="I684" s="2"/>
    </row>
    <row r="685" spans="1:9">
      <c r="A685" s="2"/>
      <c r="B685" s="2"/>
      <c r="C685" s="2"/>
      <c r="D685" s="2"/>
      <c r="E685" s="3"/>
      <c r="F685" s="3"/>
      <c r="G685" s="2" t="str">
        <f ca="1">IF(F685="","",F685-TODAY())</f>
        <v/>
      </c>
      <c r="H685" s="2"/>
      <c r="I685" s="2"/>
    </row>
    <row r="686" spans="1:9">
      <c r="A686" s="2"/>
      <c r="B686" s="2"/>
      <c r="C686" s="2"/>
      <c r="D686" s="2"/>
      <c r="E686" s="3"/>
      <c r="F686" s="3"/>
      <c r="G686" s="2" t="str">
        <f ca="1">IF(F686="","",F686-TODAY())</f>
        <v/>
      </c>
      <c r="H686" s="2"/>
      <c r="I686" s="2"/>
    </row>
    <row r="687" spans="1:9">
      <c r="A687" s="2"/>
      <c r="B687" s="2"/>
      <c r="C687" s="2"/>
      <c r="D687" s="2"/>
      <c r="E687" s="3"/>
      <c r="F687" s="3"/>
      <c r="G687" s="2" t="str">
        <f ca="1">IF(F687="","",F687-TODAY())</f>
        <v/>
      </c>
      <c r="H687" s="2"/>
      <c r="I687" s="2"/>
    </row>
    <row r="688" spans="1:9">
      <c r="A688" s="2"/>
      <c r="B688" s="2"/>
      <c r="C688" s="2"/>
      <c r="D688" s="2"/>
      <c r="E688" s="3"/>
      <c r="F688" s="3"/>
      <c r="G688" s="2" t="str">
        <f ca="1">IF(F688="","",F688-TODAY())</f>
        <v/>
      </c>
      <c r="H688" s="2"/>
      <c r="I688" s="2"/>
    </row>
    <row r="689" spans="1:9">
      <c r="A689" s="2"/>
      <c r="B689" s="2"/>
      <c r="C689" s="2"/>
      <c r="D689" s="2"/>
      <c r="E689" s="3"/>
      <c r="F689" s="3"/>
      <c r="G689" s="2" t="str">
        <f ca="1">IF(F689="","",F689-TODAY())</f>
        <v/>
      </c>
      <c r="H689" s="2"/>
      <c r="I689" s="2"/>
    </row>
    <row r="690" spans="1:9">
      <c r="A690" s="2"/>
      <c r="B690" s="2"/>
      <c r="C690" s="2"/>
      <c r="D690" s="2"/>
      <c r="E690" s="3"/>
      <c r="F690" s="3"/>
      <c r="G690" s="2" t="str">
        <f ca="1">IF(F690="","",F690-TODAY())</f>
        <v/>
      </c>
      <c r="H690" s="2"/>
      <c r="I690" s="2"/>
    </row>
    <row r="691" spans="1:9">
      <c r="A691" s="2"/>
      <c r="B691" s="2"/>
      <c r="C691" s="2"/>
      <c r="D691" s="2"/>
      <c r="E691" s="3"/>
      <c r="F691" s="3"/>
      <c r="G691" s="2" t="str">
        <f ca="1">IF(F691="","",F691-TODAY())</f>
        <v/>
      </c>
      <c r="H691" s="2"/>
      <c r="I691" s="2"/>
    </row>
    <row r="692" spans="1:9">
      <c r="A692" s="2"/>
      <c r="B692" s="2"/>
      <c r="C692" s="2"/>
      <c r="D692" s="2"/>
      <c r="E692" s="3"/>
      <c r="F692" s="3"/>
      <c r="G692" s="2" t="str">
        <f ca="1">IF(F692="","",F692-TODAY())</f>
        <v/>
      </c>
      <c r="H692" s="2"/>
      <c r="I692" s="2"/>
    </row>
    <row r="693" spans="1:9">
      <c r="A693" s="2"/>
      <c r="B693" s="2"/>
      <c r="C693" s="2"/>
      <c r="D693" s="2"/>
      <c r="E693" s="3"/>
      <c r="F693" s="3"/>
      <c r="G693" s="2" t="str">
        <f ca="1">IF(F693="","",F693-TODAY())</f>
        <v/>
      </c>
      <c r="H693" s="2"/>
      <c r="I693" s="2"/>
    </row>
    <row r="694" spans="1:9">
      <c r="A694" s="2"/>
      <c r="B694" s="2"/>
      <c r="C694" s="2"/>
      <c r="D694" s="2"/>
      <c r="E694" s="3"/>
      <c r="F694" s="3"/>
      <c r="G694" s="2" t="str">
        <f ca="1">IF(F694="","",F694-TODAY())</f>
        <v/>
      </c>
      <c r="H694" s="2"/>
      <c r="I694" s="2"/>
    </row>
    <row r="695" spans="1:9">
      <c r="A695" s="2"/>
      <c r="B695" s="2"/>
      <c r="C695" s="2"/>
      <c r="D695" s="2"/>
      <c r="E695" s="3"/>
      <c r="F695" s="3"/>
      <c r="G695" s="2" t="str">
        <f ca="1">IF(F695="","",F695-TODAY())</f>
        <v/>
      </c>
      <c r="H695" s="2"/>
      <c r="I695" s="2"/>
    </row>
    <row r="696" spans="1:9">
      <c r="A696" s="2"/>
      <c r="B696" s="2"/>
      <c r="C696" s="2"/>
      <c r="D696" s="2"/>
      <c r="E696" s="3"/>
      <c r="F696" s="3"/>
      <c r="G696" s="2" t="str">
        <f ca="1">IF(F696="","",F696-TODAY())</f>
        <v/>
      </c>
      <c r="H696" s="2"/>
      <c r="I696" s="2"/>
    </row>
    <row r="697" spans="1:9">
      <c r="A697" s="2"/>
      <c r="B697" s="2"/>
      <c r="C697" s="2"/>
      <c r="D697" s="2"/>
      <c r="E697" s="3"/>
      <c r="F697" s="3"/>
      <c r="G697" s="2" t="str">
        <f ca="1">IF(F697="","",F697-TODAY())</f>
        <v/>
      </c>
      <c r="H697" s="2"/>
      <c r="I697" s="2"/>
    </row>
    <row r="698" spans="1:9">
      <c r="A698" s="2"/>
      <c r="B698" s="2"/>
      <c r="C698" s="2"/>
      <c r="D698" s="2"/>
      <c r="E698" s="3"/>
      <c r="F698" s="3"/>
      <c r="G698" s="2" t="str">
        <f ca="1">IF(F698="","",F698-TODAY())</f>
        <v/>
      </c>
      <c r="H698" s="2"/>
      <c r="I698" s="2"/>
    </row>
    <row r="699" spans="1:9">
      <c r="A699" s="2"/>
      <c r="B699" s="2"/>
      <c r="C699" s="2"/>
      <c r="D699" s="2"/>
      <c r="E699" s="3"/>
      <c r="F699" s="3"/>
      <c r="G699" s="2" t="str">
        <f ca="1">IF(F699="","",F699-TODAY())</f>
        <v/>
      </c>
      <c r="H699" s="2"/>
      <c r="I699" s="2"/>
    </row>
    <row r="700" spans="1:9">
      <c r="A700" s="2"/>
      <c r="B700" s="2"/>
      <c r="C700" s="2"/>
      <c r="D700" s="2"/>
      <c r="E700" s="3"/>
      <c r="F700" s="3"/>
      <c r="G700" s="2" t="str">
        <f ca="1">IF(F700="","",F700-TODAY())</f>
        <v/>
      </c>
      <c r="H700" s="2"/>
      <c r="I700" s="2"/>
    </row>
    <row r="701" spans="1:9">
      <c r="A701" s="2"/>
      <c r="B701" s="2"/>
      <c r="C701" s="2"/>
      <c r="D701" s="2"/>
      <c r="E701" s="3"/>
      <c r="F701" s="3"/>
      <c r="G701" s="2" t="str">
        <f ca="1">IF(F701="","",F701-TODAY())</f>
        <v/>
      </c>
      <c r="H701" s="2"/>
      <c r="I701" s="2"/>
    </row>
    <row r="702" spans="1:9">
      <c r="A702" s="2"/>
      <c r="B702" s="2"/>
      <c r="C702" s="2"/>
      <c r="D702" s="2"/>
      <c r="E702" s="3"/>
      <c r="F702" s="3"/>
      <c r="G702" s="2" t="str">
        <f ca="1">IF(F702="","",F702-TODAY())</f>
        <v/>
      </c>
      <c r="H702" s="2"/>
      <c r="I702" s="2"/>
    </row>
    <row r="703" spans="1:9">
      <c r="A703" s="2"/>
      <c r="B703" s="2"/>
      <c r="C703" s="2"/>
      <c r="D703" s="2"/>
      <c r="E703" s="3"/>
      <c r="F703" s="3"/>
      <c r="G703" s="2" t="str">
        <f ca="1">IF(F703="","",F703-TODAY())</f>
        <v/>
      </c>
      <c r="H703" s="2"/>
      <c r="I703" s="2"/>
    </row>
    <row r="704" spans="1:9">
      <c r="A704" s="2"/>
      <c r="B704" s="2"/>
      <c r="C704" s="2"/>
      <c r="D704" s="2"/>
      <c r="E704" s="3"/>
      <c r="F704" s="3"/>
      <c r="G704" s="2" t="str">
        <f ca="1">IF(F704="","",F704-TODAY())</f>
        <v/>
      </c>
      <c r="H704" s="2"/>
      <c r="I704" s="2"/>
    </row>
    <row r="705" spans="1:9">
      <c r="A705" s="2"/>
      <c r="B705" s="2"/>
      <c r="C705" s="2"/>
      <c r="D705" s="2"/>
      <c r="E705" s="3"/>
      <c r="F705" s="3"/>
      <c r="G705" s="2" t="str">
        <f ca="1">IF(F705="","",F705-TODAY())</f>
        <v/>
      </c>
      <c r="H705" s="2"/>
      <c r="I705" s="2"/>
    </row>
    <row r="706" spans="1:9">
      <c r="A706" s="2"/>
      <c r="B706" s="2"/>
      <c r="C706" s="2"/>
      <c r="D706" s="2"/>
      <c r="E706" s="3"/>
      <c r="F706" s="3"/>
      <c r="G706" s="2" t="str">
        <f ca="1">IF(F706="","",F706-TODAY())</f>
        <v/>
      </c>
      <c r="H706" s="2"/>
      <c r="I706" s="2"/>
    </row>
    <row r="707" spans="1:9">
      <c r="A707" s="2"/>
      <c r="B707" s="2"/>
      <c r="C707" s="2"/>
      <c r="D707" s="2"/>
      <c r="E707" s="3"/>
      <c r="F707" s="3"/>
      <c r="G707" s="2" t="str">
        <f ca="1">IF(F707="","",F707-TODAY())</f>
        <v/>
      </c>
      <c r="H707" s="2"/>
      <c r="I707" s="2"/>
    </row>
    <row r="708" spans="1:9">
      <c r="A708" s="2"/>
      <c r="B708" s="2"/>
      <c r="C708" s="2"/>
      <c r="D708" s="2"/>
      <c r="E708" s="3"/>
      <c r="F708" s="3"/>
      <c r="G708" s="2" t="str">
        <f ca="1">IF(F708="","",F708-TODAY())</f>
        <v/>
      </c>
      <c r="H708" s="2"/>
      <c r="I708" s="2"/>
    </row>
    <row r="709" spans="1:9">
      <c r="A709" s="2"/>
      <c r="B709" s="2"/>
      <c r="C709" s="2"/>
      <c r="D709" s="2"/>
      <c r="E709" s="3"/>
      <c r="F709" s="3"/>
      <c r="G709" s="2" t="str">
        <f ca="1">IF(F709="","",F709-TODAY())</f>
        <v/>
      </c>
      <c r="H709" s="2"/>
      <c r="I709" s="2"/>
    </row>
    <row r="710" spans="1:9">
      <c r="A710" s="2"/>
      <c r="B710" s="2"/>
      <c r="C710" s="2"/>
      <c r="D710" s="2"/>
      <c r="E710" s="3"/>
      <c r="F710" s="3"/>
      <c r="G710" s="2" t="str">
        <f ca="1">IF(F710="","",F710-TODAY())</f>
        <v/>
      </c>
      <c r="H710" s="2"/>
      <c r="I710" s="2"/>
    </row>
    <row r="711" spans="1:9">
      <c r="A711" s="2"/>
      <c r="B711" s="2"/>
      <c r="C711" s="2"/>
      <c r="D711" s="2"/>
      <c r="E711" s="3"/>
      <c r="F711" s="3"/>
      <c r="G711" s="2" t="str">
        <f ca="1">IF(F711="","",F711-TODAY())</f>
        <v/>
      </c>
      <c r="H711" s="2"/>
      <c r="I711" s="2"/>
    </row>
    <row r="712" spans="1:9">
      <c r="A712" s="2"/>
      <c r="B712" s="2"/>
      <c r="C712" s="2"/>
      <c r="D712" s="2"/>
      <c r="E712" s="3"/>
      <c r="F712" s="3"/>
      <c r="G712" s="2" t="str">
        <f ca="1">IF(F712="","",F712-TODAY())</f>
        <v/>
      </c>
      <c r="H712" s="2"/>
      <c r="I712" s="2"/>
    </row>
    <row r="713" spans="1:9">
      <c r="A713" s="2"/>
      <c r="B713" s="2"/>
      <c r="C713" s="2"/>
      <c r="D713" s="2"/>
      <c r="E713" s="3"/>
      <c r="F713" s="3"/>
      <c r="G713" s="2" t="str">
        <f ca="1">IF(F713="","",F713-TODAY())</f>
        <v/>
      </c>
      <c r="H713" s="2"/>
      <c r="I713" s="2"/>
    </row>
    <row r="714" spans="1:9">
      <c r="A714" s="2"/>
      <c r="B714" s="2"/>
      <c r="C714" s="2"/>
      <c r="D714" s="2"/>
      <c r="E714" s="3"/>
      <c r="F714" s="3"/>
      <c r="G714" s="2" t="str">
        <f ca="1">IF(F714="","",F714-TODAY())</f>
        <v/>
      </c>
      <c r="H714" s="2"/>
      <c r="I714" s="2"/>
    </row>
    <row r="715" spans="1:9">
      <c r="A715" s="2"/>
      <c r="B715" s="2"/>
      <c r="C715" s="2"/>
      <c r="D715" s="2"/>
      <c r="E715" s="3"/>
      <c r="F715" s="3"/>
      <c r="G715" s="2" t="str">
        <f ca="1">IF(F715="","",F715-TODAY())</f>
        <v/>
      </c>
      <c r="H715" s="2"/>
      <c r="I715" s="2"/>
    </row>
    <row r="716" spans="1:9">
      <c r="A716" s="2"/>
      <c r="B716" s="2"/>
      <c r="C716" s="2"/>
      <c r="D716" s="2"/>
      <c r="E716" s="3"/>
      <c r="F716" s="3"/>
      <c r="G716" s="2" t="str">
        <f ca="1">IF(F716="","",F716-TODAY())</f>
        <v/>
      </c>
      <c r="H716" s="2"/>
      <c r="I716" s="2"/>
    </row>
    <row r="717" spans="1:9">
      <c r="A717" s="2"/>
      <c r="B717" s="2"/>
      <c r="C717" s="2"/>
      <c r="D717" s="2"/>
      <c r="E717" s="3"/>
      <c r="F717" s="3"/>
      <c r="G717" s="2" t="str">
        <f ca="1">IF(F717="","",F717-TODAY())</f>
        <v/>
      </c>
      <c r="H717" s="2"/>
      <c r="I717" s="2"/>
    </row>
    <row r="718" spans="1:9">
      <c r="A718" s="2"/>
      <c r="B718" s="2"/>
      <c r="C718" s="2"/>
      <c r="D718" s="2"/>
      <c r="E718" s="3"/>
      <c r="F718" s="3"/>
      <c r="G718" s="2" t="str">
        <f ca="1">IF(F718="","",F718-TODAY())</f>
        <v/>
      </c>
      <c r="H718" s="2"/>
      <c r="I718" s="2"/>
    </row>
    <row r="719" spans="1:9">
      <c r="A719" s="2"/>
      <c r="B719" s="2"/>
      <c r="C719" s="2"/>
      <c r="D719" s="2"/>
      <c r="E719" s="3"/>
      <c r="F719" s="3"/>
      <c r="G719" s="2" t="str">
        <f ca="1">IF(F719="","",F719-TODAY())</f>
        <v/>
      </c>
      <c r="H719" s="2"/>
      <c r="I719" s="2"/>
    </row>
    <row r="720" spans="1:9">
      <c r="A720" s="2"/>
      <c r="B720" s="2"/>
      <c r="C720" s="2"/>
      <c r="D720" s="2"/>
      <c r="E720" s="3"/>
      <c r="F720" s="3"/>
      <c r="G720" s="2" t="str">
        <f ca="1">IF(F720="","",F720-TODAY())</f>
        <v/>
      </c>
      <c r="H720" s="2"/>
      <c r="I720" s="2"/>
    </row>
    <row r="721" spans="1:9">
      <c r="A721" s="2"/>
      <c r="B721" s="2"/>
      <c r="C721" s="2"/>
      <c r="D721" s="2"/>
      <c r="E721" s="3"/>
      <c r="F721" s="3"/>
      <c r="G721" s="2" t="str">
        <f ca="1">IF(F721="","",F721-TODAY())</f>
        <v/>
      </c>
      <c r="H721" s="2"/>
      <c r="I721" s="2"/>
    </row>
    <row r="722" spans="1:9">
      <c r="A722" s="2"/>
      <c r="B722" s="2"/>
      <c r="C722" s="2"/>
      <c r="D722" s="2"/>
      <c r="E722" s="3"/>
      <c r="F722" s="3"/>
      <c r="G722" s="2" t="str">
        <f ca="1">IF(F722="","",F722-TODAY())</f>
        <v/>
      </c>
      <c r="H722" s="2"/>
      <c r="I722" s="2"/>
    </row>
    <row r="723" spans="1:9">
      <c r="A723" s="2"/>
      <c r="B723" s="2"/>
      <c r="C723" s="2"/>
      <c r="D723" s="2"/>
      <c r="E723" s="3"/>
      <c r="F723" s="3"/>
      <c r="G723" s="2" t="str">
        <f ca="1">IF(F723="","",F723-TODAY())</f>
        <v/>
      </c>
      <c r="H723" s="2"/>
      <c r="I723" s="2"/>
    </row>
    <row r="724" spans="1:9">
      <c r="A724" s="2"/>
      <c r="B724" s="2"/>
      <c r="C724" s="2"/>
      <c r="D724" s="2"/>
      <c r="E724" s="3"/>
      <c r="F724" s="3"/>
      <c r="G724" s="2" t="str">
        <f ca="1">IF(F724="","",F724-TODAY())</f>
        <v/>
      </c>
      <c r="H724" s="2"/>
      <c r="I724" s="2"/>
    </row>
    <row r="725" spans="1:9">
      <c r="A725" s="2"/>
      <c r="B725" s="2"/>
      <c r="C725" s="2"/>
      <c r="D725" s="2"/>
      <c r="E725" s="3"/>
      <c r="F725" s="3"/>
      <c r="G725" s="2" t="str">
        <f ca="1">IF(F725="","",F725-TODAY())</f>
        <v/>
      </c>
      <c r="H725" s="2"/>
      <c r="I725" s="2"/>
    </row>
    <row r="726" spans="1:9">
      <c r="A726" s="2"/>
      <c r="B726" s="2"/>
      <c r="C726" s="2"/>
      <c r="D726" s="2"/>
      <c r="E726" s="3"/>
      <c r="F726" s="3"/>
      <c r="G726" s="2" t="str">
        <f ca="1">IF(F726="","",F726-TODAY())</f>
        <v/>
      </c>
      <c r="H726" s="2"/>
      <c r="I726" s="2"/>
    </row>
    <row r="727" spans="1:9">
      <c r="A727" s="2"/>
      <c r="B727" s="2"/>
      <c r="C727" s="2"/>
      <c r="D727" s="2"/>
      <c r="E727" s="3"/>
      <c r="F727" s="3"/>
      <c r="G727" s="2" t="str">
        <f ca="1">IF(F727="","",F727-TODAY())</f>
        <v/>
      </c>
      <c r="H727" s="2"/>
      <c r="I727" s="2"/>
    </row>
    <row r="728" spans="1:9">
      <c r="A728" s="2"/>
      <c r="B728" s="2"/>
      <c r="C728" s="2"/>
      <c r="D728" s="2"/>
      <c r="E728" s="3"/>
      <c r="F728" s="3"/>
      <c r="G728" s="2" t="str">
        <f ca="1">IF(F728="","",F728-TODAY())</f>
        <v/>
      </c>
      <c r="H728" s="2"/>
      <c r="I728" s="2"/>
    </row>
    <row r="729" spans="1:9">
      <c r="A729" s="2"/>
      <c r="B729" s="2"/>
      <c r="C729" s="2"/>
      <c r="D729" s="2"/>
      <c r="E729" s="3"/>
      <c r="F729" s="3"/>
      <c r="G729" s="2" t="str">
        <f ca="1">IF(F729="","",F729-TODAY())</f>
        <v/>
      </c>
      <c r="H729" s="2"/>
      <c r="I729" s="2"/>
    </row>
    <row r="730" spans="1:9">
      <c r="A730" s="2"/>
      <c r="B730" s="2"/>
      <c r="C730" s="2"/>
      <c r="D730" s="2"/>
      <c r="E730" s="3"/>
      <c r="F730" s="3"/>
      <c r="G730" s="2" t="str">
        <f ca="1">IF(F730="","",F730-TODAY())</f>
        <v/>
      </c>
      <c r="H730" s="2"/>
      <c r="I730" s="2"/>
    </row>
    <row r="731" spans="1:9">
      <c r="A731" s="2"/>
      <c r="B731" s="2"/>
      <c r="C731" s="2"/>
      <c r="D731" s="2"/>
      <c r="E731" s="3"/>
      <c r="F731" s="3"/>
      <c r="G731" s="2" t="str">
        <f ca="1">IF(F731="","",F731-TODAY())</f>
        <v/>
      </c>
      <c r="H731" s="2"/>
      <c r="I731" s="2"/>
    </row>
    <row r="732" spans="1:9">
      <c r="A732" s="2"/>
      <c r="B732" s="2"/>
      <c r="C732" s="2"/>
      <c r="D732" s="2"/>
      <c r="E732" s="3"/>
      <c r="F732" s="3"/>
      <c r="G732" s="2" t="str">
        <f ca="1">IF(F732="","",F732-TODAY())</f>
        <v/>
      </c>
      <c r="H732" s="2"/>
      <c r="I732" s="2"/>
    </row>
    <row r="733" spans="1:9">
      <c r="A733" s="2"/>
      <c r="B733" s="2"/>
      <c r="C733" s="2"/>
      <c r="D733" s="2"/>
      <c r="E733" s="3"/>
      <c r="F733" s="3"/>
      <c r="G733" s="2" t="str">
        <f ca="1">IF(F733="","",F733-TODAY())</f>
        <v/>
      </c>
      <c r="H733" s="2"/>
      <c r="I733" s="2"/>
    </row>
    <row r="734" spans="1:9">
      <c r="A734" s="2"/>
      <c r="B734" s="2"/>
      <c r="C734" s="2"/>
      <c r="D734" s="2"/>
      <c r="E734" s="3"/>
      <c r="F734" s="3"/>
      <c r="G734" s="2" t="str">
        <f ca="1">IF(F734="","",F734-TODAY())</f>
        <v/>
      </c>
      <c r="H734" s="2"/>
      <c r="I734" s="2"/>
    </row>
    <row r="735" spans="1:9">
      <c r="A735" s="2"/>
      <c r="B735" s="2"/>
      <c r="C735" s="2"/>
      <c r="D735" s="2"/>
      <c r="E735" s="3"/>
      <c r="F735" s="3"/>
      <c r="G735" s="2" t="str">
        <f ca="1">IF(F735="","",F735-TODAY())</f>
        <v/>
      </c>
      <c r="H735" s="2"/>
      <c r="I735" s="2"/>
    </row>
    <row r="736" spans="1:9">
      <c r="A736" s="2"/>
      <c r="B736" s="2"/>
      <c r="C736" s="2"/>
      <c r="D736" s="2"/>
      <c r="E736" s="3"/>
      <c r="F736" s="3"/>
      <c r="G736" s="2" t="str">
        <f ca="1">IF(F736="","",F736-TODAY())</f>
        <v/>
      </c>
      <c r="H736" s="2"/>
      <c r="I736" s="2"/>
    </row>
    <row r="737" spans="1:9">
      <c r="A737" s="2"/>
      <c r="B737" s="2"/>
      <c r="C737" s="2"/>
      <c r="D737" s="2"/>
      <c r="E737" s="3"/>
      <c r="F737" s="3"/>
      <c r="G737" s="2" t="str">
        <f ca="1">IF(F737="","",F737-TODAY())</f>
        <v/>
      </c>
      <c r="H737" s="2"/>
      <c r="I737" s="2"/>
    </row>
    <row r="738" spans="1:9">
      <c r="A738" s="2"/>
      <c r="B738" s="2"/>
      <c r="C738" s="2"/>
      <c r="D738" s="2"/>
      <c r="E738" s="3"/>
      <c r="F738" s="3"/>
      <c r="G738" s="2" t="str">
        <f ca="1">IF(F738="","",F738-TODAY())</f>
        <v/>
      </c>
      <c r="H738" s="2"/>
      <c r="I738" s="2"/>
    </row>
    <row r="739" spans="1:9">
      <c r="A739" s="2"/>
      <c r="B739" s="2"/>
      <c r="C739" s="2"/>
      <c r="D739" s="2"/>
      <c r="E739" s="3"/>
      <c r="F739" s="3"/>
      <c r="G739" s="2" t="str">
        <f ca="1">IF(F739="","",F739-TODAY())</f>
        <v/>
      </c>
      <c r="H739" s="2"/>
      <c r="I739" s="2"/>
    </row>
    <row r="740" spans="1:9">
      <c r="A740" s="2"/>
      <c r="B740" s="2"/>
      <c r="C740" s="2"/>
      <c r="D740" s="2"/>
      <c r="E740" s="3"/>
      <c r="F740" s="3"/>
      <c r="G740" s="2" t="str">
        <f ca="1">IF(F740="","",F740-TODAY())</f>
        <v/>
      </c>
      <c r="H740" s="2"/>
      <c r="I740" s="2"/>
    </row>
    <row r="741" spans="1:9">
      <c r="A741" s="2"/>
      <c r="B741" s="2"/>
      <c r="C741" s="2"/>
      <c r="D741" s="2"/>
      <c r="E741" s="3"/>
      <c r="F741" s="3"/>
      <c r="G741" s="2" t="str">
        <f ca="1">IF(F741="","",F741-TODAY())</f>
        <v/>
      </c>
      <c r="H741" s="2"/>
      <c r="I741" s="2"/>
    </row>
    <row r="742" spans="1:9">
      <c r="A742" s="2"/>
      <c r="B742" s="2"/>
      <c r="C742" s="2"/>
      <c r="D742" s="2"/>
      <c r="E742" s="3"/>
      <c r="F742" s="3"/>
      <c r="G742" s="2" t="str">
        <f ca="1">IF(F742="","",F742-TODAY())</f>
        <v/>
      </c>
      <c r="H742" s="2"/>
      <c r="I742" s="2"/>
    </row>
    <row r="743" spans="1:9">
      <c r="A743" s="2"/>
      <c r="B743" s="2"/>
      <c r="C743" s="2"/>
      <c r="D743" s="2"/>
      <c r="E743" s="3"/>
      <c r="F743" s="3"/>
      <c r="G743" s="2" t="str">
        <f ca="1">IF(F743="","",F743-TODAY())</f>
        <v/>
      </c>
      <c r="H743" s="2"/>
      <c r="I743" s="2"/>
    </row>
    <row r="744" spans="1:9">
      <c r="A744" s="2"/>
      <c r="B744" s="2"/>
      <c r="C744" s="2"/>
      <c r="D744" s="2"/>
      <c r="E744" s="3"/>
      <c r="F744" s="3"/>
      <c r="G744" s="2" t="str">
        <f ca="1">IF(F744="","",F744-TODAY())</f>
        <v/>
      </c>
      <c r="H744" s="2"/>
      <c r="I744" s="2"/>
    </row>
    <row r="745" spans="1:9">
      <c r="A745" s="2"/>
      <c r="B745" s="2"/>
      <c r="C745" s="2"/>
      <c r="D745" s="2"/>
      <c r="E745" s="3"/>
      <c r="F745" s="3"/>
      <c r="G745" s="2" t="str">
        <f ca="1">IF(F745="","",F745-TODAY())</f>
        <v/>
      </c>
      <c r="H745" s="2"/>
      <c r="I745" s="2"/>
    </row>
    <row r="746" spans="1:9">
      <c r="A746" s="2"/>
      <c r="B746" s="2"/>
      <c r="C746" s="2"/>
      <c r="D746" s="2"/>
      <c r="E746" s="3"/>
      <c r="F746" s="3"/>
      <c r="G746" s="2" t="str">
        <f ca="1">IF(F746="","",F746-TODAY())</f>
        <v/>
      </c>
      <c r="H746" s="2"/>
      <c r="I746" s="2"/>
    </row>
    <row r="747" spans="1:9">
      <c r="A747" s="2"/>
      <c r="B747" s="2"/>
      <c r="C747" s="2"/>
      <c r="D747" s="2"/>
      <c r="E747" s="3"/>
      <c r="F747" s="3"/>
      <c r="G747" s="2" t="str">
        <f ca="1">IF(F747="","",F747-TODAY())</f>
        <v/>
      </c>
      <c r="H747" s="2"/>
      <c r="I747" s="2"/>
    </row>
    <row r="748" spans="1:9">
      <c r="A748" s="2"/>
      <c r="B748" s="2"/>
      <c r="C748" s="2"/>
      <c r="D748" s="2"/>
      <c r="E748" s="3"/>
      <c r="F748" s="3"/>
      <c r="G748" s="2" t="str">
        <f ca="1">IF(F748="","",F748-TODAY())</f>
        <v/>
      </c>
      <c r="H748" s="2"/>
      <c r="I748" s="2"/>
    </row>
    <row r="749" spans="1:9">
      <c r="A749" s="2"/>
      <c r="B749" s="2"/>
      <c r="C749" s="2"/>
      <c r="D749" s="2"/>
      <c r="E749" s="3"/>
      <c r="F749" s="3"/>
      <c r="G749" s="2" t="str">
        <f ca="1">IF(F749="","",F749-TODAY())</f>
        <v/>
      </c>
      <c r="H749" s="2"/>
      <c r="I749" s="2"/>
    </row>
    <row r="750" spans="1:9">
      <c r="A750" s="2"/>
      <c r="B750" s="2"/>
      <c r="C750" s="2"/>
      <c r="D750" s="2"/>
      <c r="E750" s="3"/>
      <c r="F750" s="3"/>
      <c r="G750" s="2" t="str">
        <f ca="1">IF(F750="","",F750-TODAY())</f>
        <v/>
      </c>
      <c r="H750" s="2"/>
      <c r="I750" s="2"/>
    </row>
    <row r="751" spans="1:9">
      <c r="A751" s="2"/>
      <c r="B751" s="2"/>
      <c r="C751" s="2"/>
      <c r="D751" s="2"/>
      <c r="E751" s="3"/>
      <c r="F751" s="3"/>
      <c r="G751" s="2" t="str">
        <f ca="1">IF(F751="","",F751-TODAY())</f>
        <v/>
      </c>
      <c r="H751" s="2"/>
      <c r="I751" s="2"/>
    </row>
    <row r="752" spans="1:9">
      <c r="A752" s="2"/>
      <c r="B752" s="2"/>
      <c r="C752" s="2"/>
      <c r="D752" s="2"/>
      <c r="E752" s="3"/>
      <c r="F752" s="3"/>
      <c r="G752" s="2" t="str">
        <f ca="1">IF(F752="","",F752-TODAY())</f>
        <v/>
      </c>
      <c r="H752" s="2"/>
      <c r="I752" s="2"/>
    </row>
    <row r="753" spans="1:9">
      <c r="A753" s="2"/>
      <c r="B753" s="2"/>
      <c r="C753" s="2"/>
      <c r="D753" s="2"/>
      <c r="E753" s="3"/>
      <c r="F753" s="3"/>
      <c r="G753" s="2" t="str">
        <f ca="1">IF(F753="","",F753-TODAY())</f>
        <v/>
      </c>
      <c r="H753" s="2"/>
      <c r="I753" s="2"/>
    </row>
    <row r="754" spans="1:9">
      <c r="A754" s="2"/>
      <c r="B754" s="2"/>
      <c r="C754" s="2"/>
      <c r="D754" s="2"/>
      <c r="E754" s="3"/>
      <c r="F754" s="3"/>
      <c r="G754" s="2" t="str">
        <f ca="1">IF(F754="","",F754-TODAY())</f>
        <v/>
      </c>
      <c r="H754" s="2"/>
      <c r="I754" s="2"/>
    </row>
    <row r="755" spans="1:9">
      <c r="A755" s="2"/>
      <c r="B755" s="2"/>
      <c r="C755" s="2"/>
      <c r="D755" s="2"/>
      <c r="E755" s="3"/>
      <c r="F755" s="3"/>
      <c r="G755" s="2" t="str">
        <f ca="1">IF(F755="","",F755-TODAY())</f>
        <v/>
      </c>
      <c r="H755" s="2"/>
      <c r="I755" s="2"/>
    </row>
    <row r="756" spans="1:9">
      <c r="A756" s="2"/>
      <c r="B756" s="2"/>
      <c r="C756" s="2"/>
      <c r="D756" s="2"/>
      <c r="E756" s="3"/>
      <c r="F756" s="3"/>
      <c r="G756" s="2" t="str">
        <f ca="1">IF(F756="","",F756-TODAY())</f>
        <v/>
      </c>
      <c r="H756" s="2"/>
      <c r="I756" s="2"/>
    </row>
    <row r="757" spans="1:9">
      <c r="A757" s="2"/>
      <c r="B757" s="2"/>
      <c r="C757" s="2"/>
      <c r="D757" s="2"/>
      <c r="E757" s="3"/>
      <c r="F757" s="3"/>
      <c r="G757" s="2" t="str">
        <f ca="1">IF(F757="","",F757-TODAY())</f>
        <v/>
      </c>
      <c r="H757" s="2"/>
      <c r="I757" s="2"/>
    </row>
    <row r="758" spans="1:9">
      <c r="A758" s="2"/>
      <c r="B758" s="2"/>
      <c r="C758" s="2"/>
      <c r="D758" s="2"/>
      <c r="E758" s="3"/>
      <c r="F758" s="3"/>
      <c r="G758" s="2" t="str">
        <f ca="1">IF(F758="","",F758-TODAY())</f>
        <v/>
      </c>
      <c r="H758" s="2"/>
      <c r="I758" s="2"/>
    </row>
    <row r="759" spans="1:9">
      <c r="A759" s="2"/>
      <c r="B759" s="2"/>
      <c r="C759" s="2"/>
      <c r="D759" s="2"/>
      <c r="E759" s="3"/>
      <c r="F759" s="3"/>
      <c r="G759" s="2" t="str">
        <f ca="1">IF(F759="","",F759-TODAY())</f>
        <v/>
      </c>
      <c r="H759" s="2"/>
      <c r="I759" s="2"/>
    </row>
    <row r="760" spans="1:9">
      <c r="A760" s="2"/>
      <c r="B760" s="2"/>
      <c r="C760" s="2"/>
      <c r="D760" s="2"/>
      <c r="E760" s="3"/>
      <c r="F760" s="3"/>
      <c r="G760" s="2" t="str">
        <f ca="1">IF(F760="","",F760-TODAY())</f>
        <v/>
      </c>
      <c r="H760" s="2"/>
      <c r="I760" s="2"/>
    </row>
    <row r="761" spans="1:9">
      <c r="A761" s="2"/>
      <c r="B761" s="2"/>
      <c r="C761" s="2"/>
      <c r="D761" s="2"/>
      <c r="E761" s="3"/>
      <c r="F761" s="3"/>
      <c r="G761" s="2" t="str">
        <f ca="1">IF(F761="","",F761-TODAY())</f>
        <v/>
      </c>
      <c r="H761" s="2"/>
      <c r="I761" s="2"/>
    </row>
    <row r="762" spans="1:9">
      <c r="A762" s="2"/>
      <c r="B762" s="2"/>
      <c r="C762" s="2"/>
      <c r="D762" s="2"/>
      <c r="E762" s="3"/>
      <c r="F762" s="3"/>
      <c r="G762" s="2" t="str">
        <f ca="1">IF(F762="","",F762-TODAY())</f>
        <v/>
      </c>
      <c r="H762" s="2"/>
      <c r="I762" s="2"/>
    </row>
    <row r="763" spans="1:9">
      <c r="A763" s="2"/>
      <c r="B763" s="2"/>
      <c r="C763" s="2"/>
      <c r="D763" s="2"/>
      <c r="E763" s="3"/>
      <c r="F763" s="3"/>
      <c r="G763" s="2" t="str">
        <f ca="1">IF(F763="","",F763-TODAY())</f>
        <v/>
      </c>
      <c r="H763" s="2"/>
      <c r="I763" s="2"/>
    </row>
    <row r="764" spans="1:9">
      <c r="A764" s="2"/>
      <c r="B764" s="2"/>
      <c r="C764" s="2"/>
      <c r="D764" s="2"/>
      <c r="E764" s="3"/>
      <c r="F764" s="3"/>
      <c r="G764" s="2" t="str">
        <f ca="1">IF(F764="","",F764-TODAY())</f>
        <v/>
      </c>
      <c r="H764" s="2"/>
      <c r="I764" s="2"/>
    </row>
    <row r="765" spans="1:9">
      <c r="A765" s="2"/>
      <c r="B765" s="2"/>
      <c r="C765" s="2"/>
      <c r="D765" s="2"/>
      <c r="E765" s="3"/>
      <c r="F765" s="3"/>
      <c r="G765" s="2" t="str">
        <f ca="1">IF(F765="","",F765-TODAY())</f>
        <v/>
      </c>
      <c r="H765" s="2"/>
      <c r="I765" s="2"/>
    </row>
    <row r="766" spans="1:9">
      <c r="A766" s="2"/>
      <c r="B766" s="2"/>
      <c r="C766" s="2"/>
      <c r="D766" s="2"/>
      <c r="E766" s="3"/>
      <c r="F766" s="3"/>
      <c r="G766" s="2" t="str">
        <f ca="1">IF(F766="","",F766-TODAY())</f>
        <v/>
      </c>
      <c r="H766" s="2"/>
      <c r="I766" s="2"/>
    </row>
    <row r="767" spans="1:9">
      <c r="A767" s="2"/>
      <c r="B767" s="2"/>
      <c r="C767" s="2"/>
      <c r="D767" s="2"/>
      <c r="E767" s="3"/>
      <c r="F767" s="3"/>
      <c r="G767" s="2" t="str">
        <f ca="1">IF(F767="","",F767-TODAY())</f>
        <v/>
      </c>
      <c r="H767" s="2"/>
      <c r="I767" s="2"/>
    </row>
    <row r="768" spans="1:9">
      <c r="A768" s="2"/>
      <c r="B768" s="2"/>
      <c r="C768" s="2"/>
      <c r="D768" s="2"/>
      <c r="E768" s="3"/>
      <c r="F768" s="3"/>
      <c r="G768" s="2" t="str">
        <f ca="1">IF(F768="","",F768-TODAY())</f>
        <v/>
      </c>
      <c r="H768" s="2"/>
      <c r="I768" s="2"/>
    </row>
    <row r="769" spans="1:9">
      <c r="A769" s="2"/>
      <c r="B769" s="2"/>
      <c r="C769" s="2"/>
      <c r="D769" s="2"/>
      <c r="E769" s="3"/>
      <c r="F769" s="3"/>
      <c r="G769" s="2" t="str">
        <f ca="1">IF(F769="","",F769-TODAY())</f>
        <v/>
      </c>
      <c r="H769" s="2"/>
      <c r="I769" s="2"/>
    </row>
    <row r="770" spans="1:9">
      <c r="A770" s="2"/>
      <c r="B770" s="2"/>
      <c r="C770" s="2"/>
      <c r="D770" s="2"/>
      <c r="E770" s="3"/>
      <c r="F770" s="3"/>
      <c r="G770" s="2" t="str">
        <f ca="1">IF(F770="","",F770-TODAY())</f>
        <v/>
      </c>
      <c r="H770" s="2"/>
      <c r="I770" s="2"/>
    </row>
    <row r="771" spans="1:9">
      <c r="A771" s="2"/>
      <c r="B771" s="2"/>
      <c r="C771" s="2"/>
      <c r="D771" s="2"/>
      <c r="E771" s="3"/>
      <c r="F771" s="3"/>
      <c r="G771" s="2" t="str">
        <f ca="1">IF(F771="","",F771-TODAY())</f>
        <v/>
      </c>
      <c r="H771" s="2"/>
      <c r="I771" s="2"/>
    </row>
    <row r="772" spans="1:9">
      <c r="A772" s="2"/>
      <c r="B772" s="2"/>
      <c r="C772" s="2"/>
      <c r="D772" s="2"/>
      <c r="E772" s="3"/>
      <c r="F772" s="3"/>
      <c r="G772" s="2" t="str">
        <f ca="1">IF(F772="","",F772-TODAY())</f>
        <v/>
      </c>
      <c r="H772" s="2"/>
      <c r="I772" s="2"/>
    </row>
    <row r="773" spans="1:9">
      <c r="A773" s="2"/>
      <c r="B773" s="2"/>
      <c r="C773" s="2"/>
      <c r="D773" s="2"/>
      <c r="E773" s="3"/>
      <c r="F773" s="3"/>
      <c r="G773" s="2" t="str">
        <f ca="1">IF(F773="","",F773-TODAY())</f>
        <v/>
      </c>
      <c r="H773" s="2"/>
      <c r="I773" s="2"/>
    </row>
    <row r="774" spans="1:9">
      <c r="A774" s="2"/>
      <c r="B774" s="2"/>
      <c r="C774" s="2"/>
      <c r="D774" s="2"/>
      <c r="E774" s="3"/>
      <c r="F774" s="3"/>
      <c r="G774" s="2" t="str">
        <f ca="1">IF(F774="","",F774-TODAY())</f>
        <v/>
      </c>
      <c r="H774" s="2"/>
      <c r="I774" s="2"/>
    </row>
    <row r="775" spans="1:9">
      <c r="A775" s="2"/>
      <c r="B775" s="2"/>
      <c r="C775" s="2"/>
      <c r="D775" s="2"/>
      <c r="E775" s="3"/>
      <c r="F775" s="3"/>
      <c r="G775" s="2" t="str">
        <f ca="1">IF(F775="","",F775-TODAY())</f>
        <v/>
      </c>
      <c r="H775" s="2"/>
      <c r="I775" s="2"/>
    </row>
    <row r="776" spans="1:9">
      <c r="A776" s="2"/>
      <c r="B776" s="2"/>
      <c r="C776" s="2"/>
      <c r="D776" s="2"/>
      <c r="E776" s="3"/>
      <c r="F776" s="3"/>
      <c r="G776" s="2" t="str">
        <f ca="1">IF(F776="","",F776-TODAY())</f>
        <v/>
      </c>
      <c r="H776" s="2"/>
      <c r="I776" s="2"/>
    </row>
    <row r="777" spans="1:9">
      <c r="A777" s="2"/>
      <c r="B777" s="2"/>
      <c r="C777" s="2"/>
      <c r="D777" s="2"/>
      <c r="E777" s="3"/>
      <c r="F777" s="3"/>
      <c r="G777" s="2" t="str">
        <f ca="1">IF(F777="","",F777-TODAY())</f>
        <v/>
      </c>
      <c r="H777" s="2"/>
      <c r="I777" s="2"/>
    </row>
    <row r="778" spans="1:9">
      <c r="A778" s="2"/>
      <c r="B778" s="2"/>
      <c r="C778" s="2"/>
      <c r="D778" s="2"/>
      <c r="E778" s="3"/>
      <c r="F778" s="3"/>
      <c r="G778" s="2" t="str">
        <f ca="1">IF(F778="","",F778-TODAY())</f>
        <v/>
      </c>
      <c r="H778" s="2"/>
      <c r="I778" s="2"/>
    </row>
    <row r="779" spans="1:9">
      <c r="A779" s="2"/>
      <c r="B779" s="2"/>
      <c r="C779" s="2"/>
      <c r="D779" s="2"/>
      <c r="E779" s="3"/>
      <c r="F779" s="3"/>
      <c r="G779" s="2" t="str">
        <f ca="1">IF(F779="","",F779-TODAY())</f>
        <v/>
      </c>
      <c r="H779" s="2"/>
      <c r="I779" s="2"/>
    </row>
    <row r="780" spans="1:9">
      <c r="A780" s="2"/>
      <c r="B780" s="2"/>
      <c r="C780" s="2"/>
      <c r="D780" s="2"/>
      <c r="E780" s="3"/>
      <c r="F780" s="3"/>
      <c r="G780" s="2" t="str">
        <f ca="1">IF(F780="","",F780-TODAY())</f>
        <v/>
      </c>
      <c r="H780" s="2"/>
      <c r="I780" s="2"/>
    </row>
    <row r="781" spans="1:9">
      <c r="A781" s="2"/>
      <c r="B781" s="2"/>
      <c r="C781" s="2"/>
      <c r="D781" s="2"/>
      <c r="E781" s="3"/>
      <c r="F781" s="3"/>
      <c r="G781" s="2" t="str">
        <f ca="1">IF(F781="","",F781-TODAY())</f>
        <v/>
      </c>
      <c r="H781" s="2"/>
      <c r="I781" s="2"/>
    </row>
    <row r="782" spans="1:9">
      <c r="A782" s="2"/>
      <c r="B782" s="2"/>
      <c r="C782" s="2"/>
      <c r="D782" s="2"/>
      <c r="E782" s="3"/>
      <c r="F782" s="3"/>
      <c r="G782" s="2" t="str">
        <f ca="1">IF(F782="","",F782-TODAY())</f>
        <v/>
      </c>
      <c r="H782" s="2"/>
      <c r="I782" s="2"/>
    </row>
    <row r="783" spans="1:9">
      <c r="A783" s="2"/>
      <c r="B783" s="2"/>
      <c r="C783" s="2"/>
      <c r="D783" s="2"/>
      <c r="E783" s="3"/>
      <c r="F783" s="3"/>
      <c r="G783" s="2" t="str">
        <f ca="1">IF(F783="","",F783-TODAY())</f>
        <v/>
      </c>
      <c r="H783" s="2"/>
      <c r="I783" s="2"/>
    </row>
    <row r="784" spans="1:9">
      <c r="A784" s="2"/>
      <c r="B784" s="2"/>
      <c r="C784" s="2"/>
      <c r="D784" s="2"/>
      <c r="E784" s="3"/>
      <c r="F784" s="3"/>
      <c r="G784" s="2" t="str">
        <f ca="1">IF(F784="","",F784-TODAY())</f>
        <v/>
      </c>
      <c r="H784" s="2"/>
      <c r="I784" s="2"/>
    </row>
    <row r="785" spans="1:9">
      <c r="A785" s="2"/>
      <c r="B785" s="2"/>
      <c r="C785" s="2"/>
      <c r="D785" s="2"/>
      <c r="E785" s="3"/>
      <c r="F785" s="3"/>
      <c r="G785" s="2" t="str">
        <f ca="1">IF(F785="","",F785-TODAY())</f>
        <v/>
      </c>
      <c r="H785" s="2"/>
      <c r="I785" s="2"/>
    </row>
    <row r="786" spans="1:9">
      <c r="A786" s="2"/>
      <c r="B786" s="2"/>
      <c r="C786" s="2"/>
      <c r="D786" s="2"/>
      <c r="E786" s="3"/>
      <c r="F786" s="3"/>
      <c r="G786" s="2" t="str">
        <f ca="1">IF(F786="","",F786-TODAY())</f>
        <v/>
      </c>
      <c r="H786" s="2"/>
      <c r="I786" s="2"/>
    </row>
    <row r="787" spans="1:9">
      <c r="A787" s="2"/>
      <c r="B787" s="2"/>
      <c r="C787" s="2"/>
      <c r="D787" s="2"/>
      <c r="E787" s="3"/>
      <c r="F787" s="3"/>
      <c r="G787" s="2" t="str">
        <f ca="1">IF(F787="","",F787-TODAY())</f>
        <v/>
      </c>
      <c r="H787" s="2"/>
      <c r="I787" s="2"/>
    </row>
    <row r="788" spans="1:9">
      <c r="A788" s="2"/>
      <c r="B788" s="2"/>
      <c r="C788" s="2"/>
      <c r="D788" s="2"/>
      <c r="E788" s="3"/>
      <c r="F788" s="3"/>
      <c r="G788" s="2" t="str">
        <f ca="1">IF(F788="","",F788-TODAY())</f>
        <v/>
      </c>
      <c r="H788" s="2"/>
      <c r="I788" s="2"/>
    </row>
    <row r="789" spans="1:9">
      <c r="A789" s="2"/>
      <c r="B789" s="2"/>
      <c r="C789" s="2"/>
      <c r="D789" s="2"/>
      <c r="E789" s="3"/>
      <c r="F789" s="3"/>
      <c r="G789" s="2" t="str">
        <f ca="1">IF(F789="","",F789-TODAY())</f>
        <v/>
      </c>
      <c r="H789" s="2"/>
      <c r="I789" s="2"/>
    </row>
    <row r="790" spans="1:9">
      <c r="A790" s="2"/>
      <c r="B790" s="2"/>
      <c r="C790" s="2"/>
      <c r="D790" s="2"/>
      <c r="E790" s="3"/>
      <c r="F790" s="3"/>
      <c r="G790" s="2" t="str">
        <f ca="1">IF(F790="","",F790-TODAY())</f>
        <v/>
      </c>
      <c r="H790" s="2"/>
      <c r="I790" s="2"/>
    </row>
    <row r="791" spans="1:9">
      <c r="A791" s="2"/>
      <c r="B791" s="2"/>
      <c r="C791" s="2"/>
      <c r="D791" s="2"/>
      <c r="E791" s="3"/>
      <c r="F791" s="3"/>
      <c r="G791" s="2" t="str">
        <f ca="1">IF(F791="","",F791-TODAY())</f>
        <v/>
      </c>
      <c r="H791" s="2"/>
      <c r="I791" s="2"/>
    </row>
    <row r="792" spans="1:9">
      <c r="A792" s="2"/>
      <c r="B792" s="2"/>
      <c r="C792" s="2"/>
      <c r="D792" s="2"/>
      <c r="E792" s="3"/>
      <c r="F792" s="3"/>
      <c r="G792" s="2" t="str">
        <f ca="1">IF(F792="","",F792-TODAY())</f>
        <v/>
      </c>
      <c r="H792" s="2"/>
      <c r="I792" s="2"/>
    </row>
    <row r="793" spans="1:9">
      <c r="A793" s="2"/>
      <c r="B793" s="2"/>
      <c r="C793" s="2"/>
      <c r="D793" s="2"/>
      <c r="E793" s="3"/>
      <c r="F793" s="3"/>
      <c r="G793" s="2" t="str">
        <f ca="1">IF(F793="","",F793-TODAY())</f>
        <v/>
      </c>
      <c r="H793" s="2"/>
      <c r="I793" s="2"/>
    </row>
    <row r="794" spans="1:9">
      <c r="A794" s="2"/>
      <c r="B794" s="2"/>
      <c r="C794" s="2"/>
      <c r="D794" s="2"/>
      <c r="E794" s="3"/>
      <c r="F794" s="3"/>
      <c r="G794" s="2" t="str">
        <f ca="1">IF(F794="","",F794-TODAY())</f>
        <v/>
      </c>
      <c r="H794" s="2"/>
      <c r="I794" s="2"/>
    </row>
    <row r="795" spans="1:9">
      <c r="A795" s="2"/>
      <c r="B795" s="2"/>
      <c r="C795" s="2"/>
      <c r="D795" s="2"/>
      <c r="E795" s="3"/>
      <c r="F795" s="3"/>
      <c r="G795" s="2" t="str">
        <f ca="1">IF(F795="","",F795-TODAY())</f>
        <v/>
      </c>
      <c r="H795" s="2"/>
      <c r="I795" s="2"/>
    </row>
    <row r="796" spans="1:9">
      <c r="A796" s="2"/>
      <c r="B796" s="2"/>
      <c r="C796" s="2"/>
      <c r="D796" s="2"/>
      <c r="E796" s="3"/>
      <c r="F796" s="3"/>
      <c r="G796" s="2" t="str">
        <f ca="1">IF(F796="","",F796-TODAY())</f>
        <v/>
      </c>
      <c r="H796" s="2"/>
      <c r="I796" s="2"/>
    </row>
    <row r="797" spans="1:9">
      <c r="A797" s="2"/>
      <c r="B797" s="2"/>
      <c r="C797" s="2"/>
      <c r="D797" s="2"/>
      <c r="E797" s="3"/>
      <c r="F797" s="3"/>
      <c r="G797" s="2" t="str">
        <f ca="1">IF(F797="","",F797-TODAY())</f>
        <v/>
      </c>
      <c r="H797" s="2"/>
      <c r="I797" s="2"/>
    </row>
    <row r="798" spans="1:9">
      <c r="A798" s="2"/>
      <c r="B798" s="2"/>
      <c r="C798" s="2"/>
      <c r="D798" s="2"/>
      <c r="E798" s="3"/>
      <c r="F798" s="3"/>
      <c r="G798" s="2" t="str">
        <f ca="1">IF(F798="","",F798-TODAY())</f>
        <v/>
      </c>
      <c r="H798" s="2"/>
      <c r="I798" s="2"/>
    </row>
    <row r="799" spans="1:9">
      <c r="A799" s="2"/>
      <c r="B799" s="2"/>
      <c r="C799" s="2"/>
      <c r="D799" s="2"/>
      <c r="E799" s="3"/>
      <c r="F799" s="3"/>
      <c r="G799" s="2" t="str">
        <f ca="1">IF(F799="","",F799-TODAY())</f>
        <v/>
      </c>
      <c r="H799" s="2"/>
      <c r="I799" s="2"/>
    </row>
    <row r="800" spans="1:9">
      <c r="A800" s="2"/>
      <c r="B800" s="2"/>
      <c r="C800" s="2"/>
      <c r="D800" s="2"/>
      <c r="E800" s="3"/>
      <c r="F800" s="3"/>
      <c r="G800" s="2" t="str">
        <f ca="1">IF(F800="","",F800-TODAY())</f>
        <v/>
      </c>
      <c r="H800" s="2"/>
      <c r="I800" s="2"/>
    </row>
    <row r="801" spans="1:9">
      <c r="A801" s="2"/>
      <c r="B801" s="2"/>
      <c r="C801" s="2"/>
      <c r="D801" s="2"/>
      <c r="E801" s="3"/>
      <c r="F801" s="3"/>
      <c r="G801" s="2" t="str">
        <f ca="1">IF(F801="","",F801-TODAY())</f>
        <v/>
      </c>
      <c r="H801" s="2"/>
      <c r="I801" s="2"/>
    </row>
    <row r="802" spans="1:9">
      <c r="A802" s="2"/>
      <c r="B802" s="2"/>
      <c r="C802" s="2"/>
      <c r="D802" s="2"/>
      <c r="E802" s="3"/>
      <c r="F802" s="3"/>
      <c r="G802" s="2" t="str">
        <f ca="1">IF(F802="","",F802-TODAY())</f>
        <v/>
      </c>
      <c r="H802" s="2"/>
      <c r="I802" s="2"/>
    </row>
    <row r="803" spans="1:9">
      <c r="A803" s="2"/>
      <c r="B803" s="2"/>
      <c r="C803" s="2"/>
      <c r="D803" s="2"/>
      <c r="E803" s="3"/>
      <c r="F803" s="3"/>
      <c r="G803" s="2" t="str">
        <f ca="1">IF(F803="","",F803-TODAY())</f>
        <v/>
      </c>
      <c r="H803" s="2"/>
      <c r="I803" s="2"/>
    </row>
    <row r="804" spans="1:9">
      <c r="A804" s="2"/>
      <c r="B804" s="2"/>
      <c r="C804" s="2"/>
      <c r="D804" s="2"/>
      <c r="E804" s="3"/>
      <c r="F804" s="3"/>
      <c r="G804" s="2" t="str">
        <f ca="1">IF(F804="","",F804-TODAY())</f>
        <v/>
      </c>
      <c r="H804" s="2"/>
      <c r="I804" s="2"/>
    </row>
    <row r="805" spans="1:9">
      <c r="A805" s="2"/>
      <c r="B805" s="2"/>
      <c r="C805" s="2"/>
      <c r="D805" s="2"/>
      <c r="E805" s="3"/>
      <c r="F805" s="3"/>
      <c r="G805" s="2" t="str">
        <f ca="1">IF(F805="","",F805-TODAY())</f>
        <v/>
      </c>
      <c r="H805" s="2"/>
      <c r="I805" s="2"/>
    </row>
    <row r="806" spans="1:9">
      <c r="A806" s="2"/>
      <c r="B806" s="2"/>
      <c r="C806" s="2"/>
      <c r="D806" s="2"/>
      <c r="E806" s="3"/>
      <c r="F806" s="3"/>
      <c r="G806" s="2" t="str">
        <f ca="1">IF(F806="","",F806-TODAY())</f>
        <v/>
      </c>
      <c r="H806" s="2"/>
      <c r="I806" s="2"/>
    </row>
    <row r="807" spans="1:9">
      <c r="A807" s="2"/>
      <c r="B807" s="2"/>
      <c r="C807" s="2"/>
      <c r="D807" s="2"/>
      <c r="E807" s="3"/>
      <c r="F807" s="3"/>
      <c r="G807" s="2" t="str">
        <f ca="1">IF(F807="","",F807-TODAY())</f>
        <v/>
      </c>
      <c r="H807" s="2"/>
      <c r="I807" s="2"/>
    </row>
    <row r="808" spans="1:9">
      <c r="A808" s="2"/>
      <c r="B808" s="2"/>
      <c r="C808" s="2"/>
      <c r="D808" s="2"/>
      <c r="E808" s="3"/>
      <c r="F808" s="3"/>
      <c r="G808" s="2" t="str">
        <f ca="1">IF(F808="","",F808-TODAY())</f>
        <v/>
      </c>
      <c r="H808" s="2"/>
      <c r="I808" s="2"/>
    </row>
    <row r="809" spans="1:9">
      <c r="A809" s="2"/>
      <c r="B809" s="2"/>
      <c r="C809" s="2"/>
      <c r="D809" s="2"/>
      <c r="E809" s="3"/>
      <c r="F809" s="3"/>
      <c r="G809" s="2" t="str">
        <f ca="1">IF(F809="","",F809-TODAY())</f>
        <v/>
      </c>
      <c r="H809" s="2"/>
      <c r="I809" s="2"/>
    </row>
    <row r="810" spans="1:9">
      <c r="A810" s="2"/>
      <c r="B810" s="2"/>
      <c r="C810" s="2"/>
      <c r="D810" s="2"/>
      <c r="E810" s="3"/>
      <c r="F810" s="3"/>
      <c r="G810" s="2" t="str">
        <f ca="1">IF(F810="","",F810-TODAY())</f>
        <v/>
      </c>
      <c r="H810" s="2"/>
      <c r="I810" s="2"/>
    </row>
    <row r="811" spans="1:9">
      <c r="A811" s="2"/>
      <c r="B811" s="2"/>
      <c r="C811" s="2"/>
      <c r="D811" s="2"/>
      <c r="E811" s="3"/>
      <c r="F811" s="3"/>
      <c r="G811" s="2" t="str">
        <f ca="1">IF(F811="","",F811-TODAY())</f>
        <v/>
      </c>
      <c r="H811" s="2"/>
      <c r="I811" s="2"/>
    </row>
    <row r="812" spans="1:9">
      <c r="A812" s="2"/>
      <c r="B812" s="2"/>
      <c r="C812" s="2"/>
      <c r="D812" s="2"/>
      <c r="E812" s="3"/>
      <c r="F812" s="3"/>
      <c r="G812" s="2" t="str">
        <f ca="1">IF(F812="","",F812-TODAY())</f>
        <v/>
      </c>
      <c r="H812" s="2"/>
      <c r="I812" s="2"/>
    </row>
    <row r="813" spans="1:9">
      <c r="A813" s="2"/>
      <c r="B813" s="2"/>
      <c r="C813" s="2"/>
      <c r="D813" s="2"/>
      <c r="E813" s="3"/>
      <c r="F813" s="3"/>
      <c r="G813" s="2" t="str">
        <f ca="1">IF(F813="","",F813-TODAY())</f>
        <v/>
      </c>
      <c r="H813" s="2"/>
      <c r="I813" s="2"/>
    </row>
    <row r="814" spans="1:9">
      <c r="A814" s="2"/>
      <c r="B814" s="2"/>
      <c r="C814" s="2"/>
      <c r="D814" s="2"/>
      <c r="E814" s="3"/>
      <c r="F814" s="3"/>
      <c r="G814" s="2" t="str">
        <f ca="1">IF(F814="","",F814-TODAY())</f>
        <v/>
      </c>
      <c r="H814" s="2"/>
      <c r="I814" s="2"/>
    </row>
    <row r="815" spans="1:9">
      <c r="A815" s="2"/>
      <c r="B815" s="2"/>
      <c r="C815" s="2"/>
      <c r="D815" s="2"/>
      <c r="E815" s="3"/>
      <c r="F815" s="3"/>
      <c r="G815" s="2" t="str">
        <f ca="1">IF(F815="","",F815-TODAY())</f>
        <v/>
      </c>
      <c r="H815" s="2"/>
      <c r="I815" s="2"/>
    </row>
    <row r="816" spans="1:9">
      <c r="A816" s="2"/>
      <c r="B816" s="2"/>
      <c r="C816" s="2"/>
      <c r="D816" s="2"/>
      <c r="E816" s="3"/>
      <c r="F816" s="3"/>
      <c r="G816" s="2" t="str">
        <f ca="1">IF(F816="","",F816-TODAY())</f>
        <v/>
      </c>
      <c r="H816" s="2"/>
      <c r="I816" s="2"/>
    </row>
    <row r="817" spans="1:9">
      <c r="A817" s="2"/>
      <c r="B817" s="2"/>
      <c r="C817" s="2"/>
      <c r="D817" s="2"/>
      <c r="E817" s="3"/>
      <c r="F817" s="3"/>
      <c r="G817" s="2" t="str">
        <f ca="1">IF(F817="","",F817-TODAY())</f>
        <v/>
      </c>
      <c r="H817" s="2"/>
      <c r="I817" s="2"/>
    </row>
    <row r="818" spans="1:9">
      <c r="A818" s="2"/>
      <c r="B818" s="2"/>
      <c r="C818" s="2"/>
      <c r="D818" s="2"/>
      <c r="E818" s="3"/>
      <c r="F818" s="3"/>
      <c r="G818" s="2" t="str">
        <f ca="1">IF(F818="","",F818-TODAY())</f>
        <v/>
      </c>
      <c r="H818" s="2"/>
      <c r="I818" s="2"/>
    </row>
    <row r="819" spans="1:9">
      <c r="A819" s="2"/>
      <c r="B819" s="2"/>
      <c r="C819" s="2"/>
      <c r="D819" s="2"/>
      <c r="E819" s="3"/>
      <c r="F819" s="3"/>
      <c r="G819" s="2" t="str">
        <f ca="1">IF(F819="","",F819-TODAY())</f>
        <v/>
      </c>
      <c r="H819" s="2"/>
      <c r="I819" s="2"/>
    </row>
    <row r="820" spans="1:9">
      <c r="A820" s="2"/>
      <c r="B820" s="2"/>
      <c r="C820" s="2"/>
      <c r="D820" s="2"/>
      <c r="E820" s="3"/>
      <c r="F820" s="3"/>
      <c r="G820" s="2" t="str">
        <f ca="1">IF(F820="","",F820-TODAY())</f>
        <v/>
      </c>
      <c r="H820" s="2"/>
      <c r="I820" s="2"/>
    </row>
    <row r="821" spans="1:9">
      <c r="A821" s="2"/>
      <c r="B821" s="2"/>
      <c r="C821" s="2"/>
      <c r="D821" s="2"/>
      <c r="E821" s="3"/>
      <c r="F821" s="3"/>
      <c r="G821" s="2" t="str">
        <f ca="1">IF(F821="","",F821-TODAY())</f>
        <v/>
      </c>
      <c r="H821" s="2"/>
      <c r="I821" s="2"/>
    </row>
    <row r="822" spans="1:9">
      <c r="A822" s="2"/>
      <c r="B822" s="2"/>
      <c r="C822" s="2"/>
      <c r="D822" s="2"/>
      <c r="E822" s="3"/>
      <c r="F822" s="3"/>
      <c r="G822" s="2" t="str">
        <f ca="1">IF(F822="","",F822-TODAY())</f>
        <v/>
      </c>
      <c r="H822" s="2"/>
      <c r="I822" s="2"/>
    </row>
    <row r="823" spans="1:9">
      <c r="A823" s="2"/>
      <c r="B823" s="2"/>
      <c r="C823" s="2"/>
      <c r="D823" s="2"/>
      <c r="E823" s="3"/>
      <c r="F823" s="3"/>
      <c r="G823" s="2" t="str">
        <f ca="1">IF(F823="","",F823-TODAY())</f>
        <v/>
      </c>
      <c r="H823" s="2"/>
      <c r="I823" s="2"/>
    </row>
    <row r="824" spans="1:9">
      <c r="A824" s="2"/>
      <c r="B824" s="2"/>
      <c r="C824" s="2"/>
      <c r="D824" s="2"/>
      <c r="E824" s="3"/>
      <c r="F824" s="3"/>
      <c r="G824" s="2" t="str">
        <f ca="1">IF(F824="","",F824-TODAY())</f>
        <v/>
      </c>
      <c r="H824" s="2"/>
      <c r="I824" s="2"/>
    </row>
    <row r="825" spans="1:9">
      <c r="A825" s="2"/>
      <c r="B825" s="2"/>
      <c r="C825" s="2"/>
      <c r="D825" s="2"/>
      <c r="E825" s="3"/>
      <c r="F825" s="3"/>
      <c r="G825" s="2" t="str">
        <f ca="1">IF(F825="","",F825-TODAY())</f>
        <v/>
      </c>
      <c r="H825" s="2"/>
      <c r="I825" s="2"/>
    </row>
    <row r="826" spans="1:9">
      <c r="A826" s="2"/>
      <c r="B826" s="2"/>
      <c r="C826" s="2"/>
      <c r="D826" s="2"/>
      <c r="E826" s="3"/>
      <c r="F826" s="3"/>
      <c r="G826" s="2" t="str">
        <f ca="1">IF(F826="","",F826-TODAY())</f>
        <v/>
      </c>
      <c r="H826" s="2"/>
      <c r="I826" s="2"/>
    </row>
    <row r="827" spans="1:9">
      <c r="A827" s="2"/>
      <c r="B827" s="2"/>
      <c r="C827" s="2"/>
      <c r="D827" s="2"/>
      <c r="E827" s="3"/>
      <c r="F827" s="3"/>
      <c r="G827" s="2" t="str">
        <f ca="1">IF(F827="","",F827-TODAY())</f>
        <v/>
      </c>
      <c r="H827" s="2"/>
      <c r="I827" s="2"/>
    </row>
    <row r="828" spans="1:9">
      <c r="A828" s="2"/>
      <c r="B828" s="2"/>
      <c r="C828" s="2"/>
      <c r="D828" s="2"/>
      <c r="E828" s="3"/>
      <c r="F828" s="3"/>
      <c r="G828" s="2" t="str">
        <f ca="1">IF(F828="","",F828-TODAY())</f>
        <v/>
      </c>
      <c r="H828" s="2"/>
      <c r="I828" s="2"/>
    </row>
    <row r="829" spans="1:9">
      <c r="A829" s="2"/>
      <c r="B829" s="2"/>
      <c r="C829" s="2"/>
      <c r="D829" s="2"/>
      <c r="E829" s="3"/>
      <c r="F829" s="3"/>
      <c r="G829" s="2" t="str">
        <f ca="1">IF(F829="","",F829-TODAY())</f>
        <v/>
      </c>
      <c r="H829" s="2"/>
      <c r="I829" s="2"/>
    </row>
    <row r="830" spans="1:9">
      <c r="A830" s="2"/>
      <c r="B830" s="2"/>
      <c r="C830" s="2"/>
      <c r="D830" s="2"/>
      <c r="E830" s="3"/>
      <c r="F830" s="3"/>
      <c r="G830" s="2" t="str">
        <f ca="1">IF(F830="","",F830-TODAY())</f>
        <v/>
      </c>
      <c r="H830" s="2"/>
      <c r="I830" s="2"/>
    </row>
    <row r="831" spans="1:9">
      <c r="A831" s="2"/>
      <c r="B831" s="2"/>
      <c r="C831" s="2"/>
      <c r="D831" s="2"/>
      <c r="E831" s="3"/>
      <c r="F831" s="3"/>
      <c r="G831" s="2" t="str">
        <f ca="1">IF(F831="","",F831-TODAY())</f>
        <v/>
      </c>
      <c r="H831" s="2"/>
      <c r="I831" s="2"/>
    </row>
    <row r="832" spans="1:9">
      <c r="A832" s="2"/>
      <c r="B832" s="2"/>
      <c r="C832" s="2"/>
      <c r="D832" s="2"/>
      <c r="E832" s="3"/>
      <c r="F832" s="3"/>
      <c r="G832" s="2" t="str">
        <f ca="1">IF(F832="","",F832-TODAY())</f>
        <v/>
      </c>
      <c r="H832" s="2"/>
      <c r="I832" s="2"/>
    </row>
    <row r="833" spans="1:9">
      <c r="A833" s="2"/>
      <c r="B833" s="2"/>
      <c r="C833" s="2"/>
      <c r="D833" s="2"/>
      <c r="E833" s="3"/>
      <c r="F833" s="3"/>
      <c r="G833" s="2" t="str">
        <f ca="1">IF(F833="","",F833-TODAY())</f>
        <v/>
      </c>
      <c r="H833" s="2"/>
      <c r="I833" s="2"/>
    </row>
    <row r="834" spans="1:9">
      <c r="A834" s="2"/>
      <c r="B834" s="2"/>
      <c r="C834" s="2"/>
      <c r="D834" s="2"/>
      <c r="E834" s="3"/>
      <c r="F834" s="3"/>
      <c r="G834" s="2" t="str">
        <f ca="1">IF(F834="","",F834-TODAY())</f>
        <v/>
      </c>
      <c r="H834" s="2"/>
      <c r="I834" s="2"/>
    </row>
    <row r="835" spans="1:9">
      <c r="A835" s="2"/>
      <c r="B835" s="2"/>
      <c r="C835" s="2"/>
      <c r="D835" s="2"/>
      <c r="E835" s="3"/>
      <c r="F835" s="3"/>
      <c r="G835" s="2" t="str">
        <f ca="1">IF(F835="","",F835-TODAY())</f>
        <v/>
      </c>
      <c r="H835" s="2"/>
      <c r="I835" s="2"/>
    </row>
    <row r="836" spans="1:9">
      <c r="A836" s="2"/>
      <c r="B836" s="2"/>
      <c r="C836" s="2"/>
      <c r="D836" s="2"/>
      <c r="E836" s="3"/>
      <c r="F836" s="3"/>
      <c r="G836" s="2" t="str">
        <f ca="1">IF(F836="","",F836-TODAY())</f>
        <v/>
      </c>
      <c r="H836" s="2"/>
      <c r="I836" s="2"/>
    </row>
    <row r="837" spans="1:9">
      <c r="A837" s="2"/>
      <c r="B837" s="2"/>
      <c r="C837" s="2"/>
      <c r="D837" s="2"/>
      <c r="E837" s="3"/>
      <c r="F837" s="3"/>
      <c r="G837" s="2" t="str">
        <f ca="1">IF(F837="","",F837-TODAY())</f>
        <v/>
      </c>
      <c r="H837" s="2"/>
      <c r="I837" s="2"/>
    </row>
    <row r="838" spans="1:9">
      <c r="A838" s="2"/>
      <c r="B838" s="2"/>
      <c r="C838" s="2"/>
      <c r="D838" s="2"/>
      <c r="E838" s="3"/>
      <c r="F838" s="3"/>
      <c r="G838" s="2" t="str">
        <f ca="1">IF(F838="","",F838-TODAY())</f>
        <v/>
      </c>
      <c r="H838" s="2"/>
      <c r="I838" s="2"/>
    </row>
    <row r="839" spans="1:9">
      <c r="A839" s="2"/>
      <c r="B839" s="2"/>
      <c r="C839" s="2"/>
      <c r="D839" s="2"/>
      <c r="E839" s="3"/>
      <c r="F839" s="3"/>
      <c r="G839" s="2" t="str">
        <f ca="1">IF(F839="","",F839-TODAY())</f>
        <v/>
      </c>
      <c r="H839" s="2"/>
      <c r="I839" s="2"/>
    </row>
    <row r="840" spans="1:9">
      <c r="A840" s="2"/>
      <c r="B840" s="2"/>
      <c r="C840" s="2"/>
      <c r="D840" s="2"/>
      <c r="E840" s="3"/>
      <c r="F840" s="3"/>
      <c r="G840" s="2" t="str">
        <f ca="1">IF(F840="","",F840-TODAY())</f>
        <v/>
      </c>
      <c r="H840" s="2"/>
      <c r="I840" s="2"/>
    </row>
    <row r="841" spans="1:9">
      <c r="A841" s="2"/>
      <c r="B841" s="2"/>
      <c r="C841" s="2"/>
      <c r="D841" s="2"/>
      <c r="E841" s="3"/>
      <c r="F841" s="3"/>
      <c r="G841" s="2" t="str">
        <f ca="1">IF(F841="","",F841-TODAY())</f>
        <v/>
      </c>
      <c r="H841" s="2"/>
      <c r="I841" s="2"/>
    </row>
    <row r="842" spans="1:9">
      <c r="A842" s="2"/>
      <c r="B842" s="2"/>
      <c r="C842" s="2"/>
      <c r="D842" s="2"/>
      <c r="E842" s="3"/>
      <c r="F842" s="3"/>
      <c r="G842" s="2" t="str">
        <f ca="1">IF(F842="","",F842-TODAY())</f>
        <v/>
      </c>
      <c r="H842" s="2"/>
      <c r="I842" s="2"/>
    </row>
    <row r="843" spans="1:9">
      <c r="A843" s="2"/>
      <c r="B843" s="2"/>
      <c r="C843" s="2"/>
      <c r="D843" s="2"/>
      <c r="E843" s="3"/>
      <c r="F843" s="3"/>
      <c r="G843" s="2" t="str">
        <f ca="1">IF(F843="","",F843-TODAY())</f>
        <v/>
      </c>
      <c r="H843" s="2"/>
      <c r="I843" s="2"/>
    </row>
    <row r="844" spans="1:9">
      <c r="A844" s="2"/>
      <c r="B844" s="2"/>
      <c r="C844" s="2"/>
      <c r="D844" s="2"/>
      <c r="E844" s="3"/>
      <c r="F844" s="3"/>
      <c r="G844" s="2" t="str">
        <f ca="1">IF(F844="","",F844-TODAY())</f>
        <v/>
      </c>
      <c r="H844" s="2"/>
      <c r="I844" s="2"/>
    </row>
    <row r="845" spans="1:9">
      <c r="A845" s="2"/>
      <c r="B845" s="2"/>
      <c r="C845" s="2"/>
      <c r="D845" s="2"/>
      <c r="E845" s="3"/>
      <c r="F845" s="3"/>
      <c r="G845" s="2" t="str">
        <f ca="1">IF(F845="","",F845-TODAY())</f>
        <v/>
      </c>
      <c r="H845" s="2"/>
      <c r="I845" s="2"/>
    </row>
    <row r="846" spans="1:9">
      <c r="A846" s="2"/>
      <c r="B846" s="2"/>
      <c r="C846" s="2"/>
      <c r="D846" s="2"/>
      <c r="E846" s="3"/>
      <c r="F846" s="3"/>
      <c r="G846" s="2" t="str">
        <f ca="1">IF(F846="","",F846-TODAY())</f>
        <v/>
      </c>
      <c r="H846" s="2"/>
      <c r="I846" s="2"/>
    </row>
    <row r="847" spans="1:9">
      <c r="A847" s="2"/>
      <c r="B847" s="2"/>
      <c r="C847" s="2"/>
      <c r="D847" s="2"/>
      <c r="E847" s="3"/>
      <c r="F847" s="3"/>
      <c r="G847" s="2" t="str">
        <f ca="1">IF(F847="","",F847-TODAY())</f>
        <v/>
      </c>
      <c r="H847" s="2"/>
      <c r="I847" s="2"/>
    </row>
    <row r="848" spans="1:9">
      <c r="A848" s="2"/>
      <c r="B848" s="2"/>
      <c r="C848" s="2"/>
      <c r="D848" s="2"/>
      <c r="E848" s="3"/>
      <c r="F848" s="3"/>
      <c r="G848" s="2" t="str">
        <f ca="1">IF(F848="","",F848-TODAY())</f>
        <v/>
      </c>
      <c r="H848" s="2"/>
      <c r="I848" s="2"/>
    </row>
    <row r="849" spans="1:9">
      <c r="A849" s="2"/>
      <c r="B849" s="2"/>
      <c r="C849" s="2"/>
      <c r="D849" s="2"/>
      <c r="E849" s="3"/>
      <c r="F849" s="3"/>
      <c r="G849" s="2" t="str">
        <f ca="1">IF(F849="","",F849-TODAY())</f>
        <v/>
      </c>
      <c r="H849" s="2"/>
      <c r="I849" s="2"/>
    </row>
    <row r="850" spans="1:9">
      <c r="A850" s="2"/>
      <c r="B850" s="2"/>
      <c r="C850" s="2"/>
      <c r="D850" s="2"/>
      <c r="E850" s="3"/>
      <c r="F850" s="3"/>
      <c r="G850" s="2" t="str">
        <f ca="1">IF(F850="","",F850-TODAY())</f>
        <v/>
      </c>
      <c r="H850" s="2"/>
      <c r="I850" s="2"/>
    </row>
    <row r="851" spans="1:9">
      <c r="A851" s="2"/>
      <c r="B851" s="2"/>
      <c r="C851" s="2"/>
      <c r="D851" s="2"/>
      <c r="E851" s="3"/>
      <c r="F851" s="3"/>
      <c r="G851" s="2" t="str">
        <f ca="1">IF(F851="","",F851-TODAY())</f>
        <v/>
      </c>
      <c r="H851" s="2"/>
      <c r="I851" s="2"/>
    </row>
    <row r="852" spans="1:9">
      <c r="A852" s="2"/>
      <c r="B852" s="2"/>
      <c r="C852" s="2"/>
      <c r="D852" s="2"/>
      <c r="E852" s="3"/>
      <c r="F852" s="3"/>
      <c r="G852" s="2" t="str">
        <f ca="1">IF(F852="","",F852-TODAY())</f>
        <v/>
      </c>
      <c r="H852" s="2"/>
      <c r="I852" s="2"/>
    </row>
    <row r="853" spans="1:9">
      <c r="A853" s="2"/>
      <c r="B853" s="2"/>
      <c r="C853" s="2"/>
      <c r="D853" s="2"/>
      <c r="E853" s="3"/>
      <c r="F853" s="3"/>
      <c r="G853" s="2" t="str">
        <f ca="1">IF(F853="","",F853-TODAY())</f>
        <v/>
      </c>
      <c r="H853" s="2"/>
      <c r="I853" s="2"/>
    </row>
    <row r="854" spans="1:9">
      <c r="A854" s="2"/>
      <c r="B854" s="2"/>
      <c r="C854" s="2"/>
      <c r="D854" s="2"/>
      <c r="E854" s="3"/>
      <c r="F854" s="3"/>
      <c r="G854" s="2" t="str">
        <f ca="1">IF(F854="","",F854-TODAY())</f>
        <v/>
      </c>
      <c r="H854" s="2"/>
      <c r="I854" s="2"/>
    </row>
    <row r="855" spans="1:9">
      <c r="A855" s="2"/>
      <c r="B855" s="2"/>
      <c r="C855" s="2"/>
      <c r="D855" s="2"/>
      <c r="E855" s="3"/>
      <c r="F855" s="3"/>
      <c r="G855" s="2" t="str">
        <f ca="1">IF(F855="","",F855-TODAY())</f>
        <v/>
      </c>
      <c r="H855" s="2"/>
      <c r="I855" s="2"/>
    </row>
    <row r="856" spans="1:9">
      <c r="A856" s="2"/>
      <c r="B856" s="2"/>
      <c r="C856" s="2"/>
      <c r="D856" s="2"/>
      <c r="E856" s="3"/>
      <c r="F856" s="3"/>
      <c r="G856" s="2" t="str">
        <f ca="1">IF(F856="","",F856-TODAY())</f>
        <v/>
      </c>
      <c r="H856" s="2"/>
      <c r="I856" s="2"/>
    </row>
    <row r="857" spans="1:9">
      <c r="A857" s="2"/>
      <c r="B857" s="2"/>
      <c r="C857" s="2"/>
      <c r="D857" s="2"/>
      <c r="E857" s="3"/>
      <c r="F857" s="3"/>
      <c r="G857" s="2" t="str">
        <f ca="1">IF(F857="","",F857-TODAY())</f>
        <v/>
      </c>
      <c r="H857" s="2"/>
      <c r="I857" s="2"/>
    </row>
    <row r="858" spans="1:9">
      <c r="A858" s="2"/>
      <c r="B858" s="2"/>
      <c r="C858" s="2"/>
      <c r="D858" s="2"/>
      <c r="E858" s="3"/>
      <c r="F858" s="3"/>
      <c r="G858" s="2" t="str">
        <f ca="1">IF(F858="","",F858-TODAY())</f>
        <v/>
      </c>
      <c r="H858" s="2"/>
      <c r="I858" s="2"/>
    </row>
    <row r="859" spans="1:9">
      <c r="A859" s="2"/>
      <c r="B859" s="2"/>
      <c r="C859" s="2"/>
      <c r="D859" s="2"/>
      <c r="E859" s="3"/>
      <c r="F859" s="3"/>
      <c r="G859" s="2" t="str">
        <f ca="1">IF(F859="","",F859-TODAY())</f>
        <v/>
      </c>
      <c r="H859" s="2"/>
      <c r="I859" s="2"/>
    </row>
    <row r="860" spans="1:9">
      <c r="A860" s="2"/>
      <c r="B860" s="2"/>
      <c r="C860" s="2"/>
      <c r="D860" s="2"/>
      <c r="E860" s="3"/>
      <c r="F860" s="3"/>
      <c r="G860" s="2" t="str">
        <f ca="1">IF(F860="","",F860-TODAY())</f>
        <v/>
      </c>
      <c r="H860" s="2"/>
      <c r="I860" s="2"/>
    </row>
    <row r="861" spans="1:9">
      <c r="A861" s="2"/>
      <c r="B861" s="2"/>
      <c r="C861" s="2"/>
      <c r="D861" s="2"/>
      <c r="E861" s="3"/>
      <c r="F861" s="3"/>
      <c r="G861" s="2" t="str">
        <f ca="1">IF(F861="","",F861-TODAY())</f>
        <v/>
      </c>
      <c r="H861" s="2"/>
      <c r="I861" s="2"/>
    </row>
    <row r="862" spans="1:9">
      <c r="A862" s="2"/>
      <c r="B862" s="2"/>
      <c r="C862" s="2"/>
      <c r="D862" s="2"/>
      <c r="E862" s="3"/>
      <c r="F862" s="3"/>
      <c r="G862" s="2" t="str">
        <f ca="1">IF(F862="","",F862-TODAY())</f>
        <v/>
      </c>
      <c r="H862" s="2"/>
      <c r="I862" s="2"/>
    </row>
    <row r="863" spans="1:9">
      <c r="A863" s="2"/>
      <c r="B863" s="2"/>
      <c r="C863" s="2"/>
      <c r="D863" s="2"/>
      <c r="E863" s="3"/>
      <c r="F863" s="3"/>
      <c r="G863" s="2" t="str">
        <f ca="1">IF(F863="","",F863-TODAY())</f>
        <v/>
      </c>
      <c r="H863" s="2"/>
      <c r="I863" s="2"/>
    </row>
    <row r="864" spans="1:9">
      <c r="A864" s="2"/>
      <c r="B864" s="2"/>
      <c r="C864" s="2"/>
      <c r="D864" s="2"/>
      <c r="E864" s="3"/>
      <c r="F864" s="3"/>
      <c r="G864" s="2" t="str">
        <f ca="1">IF(F864="","",F864-TODAY())</f>
        <v/>
      </c>
      <c r="H864" s="2"/>
      <c r="I864" s="2"/>
    </row>
    <row r="865" spans="1:9">
      <c r="A865" s="2"/>
      <c r="B865" s="2"/>
      <c r="C865" s="2"/>
      <c r="D865" s="2"/>
      <c r="E865" s="3"/>
      <c r="F865" s="3"/>
      <c r="G865" s="2" t="str">
        <f ca="1">IF(F865="","",F865-TODAY())</f>
        <v/>
      </c>
      <c r="H865" s="2"/>
      <c r="I865" s="2"/>
    </row>
    <row r="866" spans="1:9">
      <c r="A866" s="2"/>
      <c r="B866" s="2"/>
      <c r="C866" s="2"/>
      <c r="D866" s="2"/>
      <c r="E866" s="3"/>
      <c r="F866" s="3"/>
      <c r="G866" s="2" t="str">
        <f ca="1">IF(F866="","",F866-TODAY())</f>
        <v/>
      </c>
      <c r="H866" s="2"/>
      <c r="I866" s="2"/>
    </row>
    <row r="867" spans="1:9">
      <c r="A867" s="2"/>
      <c r="B867" s="2"/>
      <c r="C867" s="2"/>
      <c r="D867" s="2"/>
      <c r="E867" s="3"/>
      <c r="F867" s="3"/>
      <c r="G867" s="2" t="str">
        <f ca="1">IF(F867="","",F867-TODAY())</f>
        <v/>
      </c>
      <c r="H867" s="2"/>
      <c r="I867" s="2"/>
    </row>
    <row r="868" spans="1:9">
      <c r="A868" s="2"/>
      <c r="B868" s="2"/>
      <c r="C868" s="2"/>
      <c r="D868" s="2"/>
      <c r="E868" s="3"/>
      <c r="F868" s="3"/>
      <c r="G868" s="2" t="str">
        <f ca="1">IF(F868="","",F868-TODAY())</f>
        <v/>
      </c>
      <c r="H868" s="2"/>
      <c r="I868" s="2"/>
    </row>
    <row r="869" spans="1:9">
      <c r="A869" s="2"/>
      <c r="B869" s="2"/>
      <c r="C869" s="2"/>
      <c r="D869" s="2"/>
      <c r="E869" s="3"/>
      <c r="F869" s="3"/>
      <c r="G869" s="2" t="str">
        <f ca="1">IF(F869="","",F869-TODAY())</f>
        <v/>
      </c>
      <c r="H869" s="2"/>
      <c r="I869" s="2"/>
    </row>
    <row r="870" spans="1:9">
      <c r="A870" s="2"/>
      <c r="B870" s="2"/>
      <c r="C870" s="2"/>
      <c r="D870" s="2"/>
      <c r="E870" s="3"/>
      <c r="F870" s="3"/>
      <c r="G870" s="2" t="str">
        <f ca="1">IF(F870="","",F870-TODAY())</f>
        <v/>
      </c>
      <c r="H870" s="2"/>
      <c r="I870" s="2"/>
    </row>
    <row r="871" spans="1:9">
      <c r="A871" s="2"/>
      <c r="B871" s="2"/>
      <c r="C871" s="2"/>
      <c r="D871" s="2"/>
      <c r="E871" s="3"/>
      <c r="F871" s="3"/>
      <c r="G871" s="2" t="str">
        <f ca="1">IF(F871="","",F871-TODAY())</f>
        <v/>
      </c>
      <c r="H871" s="2"/>
      <c r="I871" s="2"/>
    </row>
    <row r="872" spans="1:9">
      <c r="A872" s="2"/>
      <c r="B872" s="2"/>
      <c r="C872" s="2"/>
      <c r="D872" s="2"/>
      <c r="E872" s="3"/>
      <c r="F872" s="3"/>
      <c r="G872" s="2" t="str">
        <f ca="1">IF(F872="","",F872-TODAY())</f>
        <v/>
      </c>
      <c r="H872" s="2"/>
      <c r="I872" s="2"/>
    </row>
    <row r="873" spans="1:9">
      <c r="A873" s="2"/>
      <c r="B873" s="2"/>
      <c r="C873" s="2"/>
      <c r="D873" s="2"/>
      <c r="E873" s="3"/>
      <c r="F873" s="3"/>
      <c r="G873" s="2" t="str">
        <f ca="1">IF(F873="","",F873-TODAY())</f>
        <v/>
      </c>
      <c r="H873" s="2"/>
      <c r="I873" s="2"/>
    </row>
    <row r="874" spans="1:9">
      <c r="A874" s="2"/>
      <c r="B874" s="2"/>
      <c r="C874" s="2"/>
      <c r="D874" s="2"/>
      <c r="E874" s="3"/>
      <c r="F874" s="3"/>
      <c r="G874" s="2" t="str">
        <f ca="1">IF(F874="","",F874-TODAY())</f>
        <v/>
      </c>
      <c r="H874" s="2"/>
      <c r="I874" s="2"/>
    </row>
    <row r="875" spans="1:9">
      <c r="A875" s="2"/>
      <c r="B875" s="2"/>
      <c r="C875" s="2"/>
      <c r="D875" s="2"/>
      <c r="E875" s="3"/>
      <c r="F875" s="3"/>
      <c r="G875" s="2" t="str">
        <f ca="1">IF(F875="","",F875-TODAY())</f>
        <v/>
      </c>
      <c r="H875" s="2"/>
      <c r="I875" s="2"/>
    </row>
    <row r="876" spans="1:9">
      <c r="A876" s="2"/>
      <c r="B876" s="2"/>
      <c r="C876" s="2"/>
      <c r="D876" s="2"/>
      <c r="E876" s="3"/>
      <c r="F876" s="3"/>
      <c r="G876" s="2" t="str">
        <f ca="1">IF(F876="","",F876-TODAY())</f>
        <v/>
      </c>
      <c r="H876" s="2"/>
      <c r="I876" s="2"/>
    </row>
    <row r="877" spans="1:9">
      <c r="A877" s="2"/>
      <c r="B877" s="2"/>
      <c r="C877" s="2"/>
      <c r="D877" s="2"/>
      <c r="E877" s="3"/>
      <c r="F877" s="3"/>
      <c r="G877" s="2" t="str">
        <f ca="1">IF(F877="","",F877-TODAY())</f>
        <v/>
      </c>
      <c r="H877" s="2"/>
      <c r="I877" s="2"/>
    </row>
    <row r="878" spans="1:9">
      <c r="A878" s="2"/>
      <c r="B878" s="2"/>
      <c r="C878" s="2"/>
      <c r="D878" s="2"/>
      <c r="E878" s="3"/>
      <c r="F878" s="3"/>
      <c r="G878" s="2" t="str">
        <f ca="1">IF(F878="","",F878-TODAY())</f>
        <v/>
      </c>
      <c r="H878" s="2"/>
      <c r="I878" s="2"/>
    </row>
    <row r="879" spans="1:9">
      <c r="A879" s="2"/>
      <c r="B879" s="2"/>
      <c r="C879" s="2"/>
      <c r="D879" s="2"/>
      <c r="E879" s="3"/>
      <c r="F879" s="3"/>
      <c r="G879" s="2" t="str">
        <f ca="1">IF(F879="","",F879-TODAY())</f>
        <v/>
      </c>
      <c r="H879" s="2"/>
      <c r="I879" s="2"/>
    </row>
    <row r="880" spans="1:9">
      <c r="A880" s="2"/>
      <c r="B880" s="2"/>
      <c r="C880" s="2"/>
      <c r="D880" s="2"/>
      <c r="E880" s="3"/>
      <c r="F880" s="3"/>
      <c r="G880" s="2" t="str">
        <f ca="1">IF(F880="","",F880-TODAY())</f>
        <v/>
      </c>
      <c r="H880" s="2"/>
      <c r="I880" s="2"/>
    </row>
    <row r="881" spans="1:9">
      <c r="A881" s="2"/>
      <c r="B881" s="2"/>
      <c r="C881" s="2"/>
      <c r="D881" s="2"/>
      <c r="E881" s="3"/>
      <c r="F881" s="3"/>
      <c r="G881" s="2" t="str">
        <f ca="1">IF(F881="","",F881-TODAY())</f>
        <v/>
      </c>
      <c r="H881" s="2"/>
      <c r="I881" s="2"/>
    </row>
    <row r="882" spans="1:9">
      <c r="A882" s="2"/>
      <c r="B882" s="2"/>
      <c r="C882" s="2"/>
      <c r="D882" s="2"/>
      <c r="E882" s="3"/>
      <c r="F882" s="3"/>
      <c r="G882" s="2" t="str">
        <f ca="1">IF(F882="","",F882-TODAY())</f>
        <v/>
      </c>
      <c r="H882" s="2"/>
      <c r="I882" s="2"/>
    </row>
    <row r="883" spans="1:9">
      <c r="A883" s="2"/>
      <c r="B883" s="2"/>
      <c r="C883" s="2"/>
      <c r="D883" s="2"/>
      <c r="E883" s="3"/>
      <c r="F883" s="3"/>
      <c r="G883" s="2" t="str">
        <f ca="1">IF(F883="","",F883-TODAY())</f>
        <v/>
      </c>
      <c r="H883" s="2"/>
      <c r="I883" s="2"/>
    </row>
    <row r="884" spans="1:9">
      <c r="A884" s="2"/>
      <c r="B884" s="2"/>
      <c r="C884" s="2"/>
      <c r="D884" s="2"/>
      <c r="E884" s="3"/>
      <c r="F884" s="3"/>
      <c r="G884" s="2" t="str">
        <f ca="1">IF(F884="","",F884-TODAY())</f>
        <v/>
      </c>
      <c r="H884" s="2"/>
      <c r="I884" s="2"/>
    </row>
    <row r="885" spans="1:9">
      <c r="A885" s="2"/>
      <c r="B885" s="2"/>
      <c r="C885" s="2"/>
      <c r="D885" s="2"/>
      <c r="E885" s="3"/>
      <c r="F885" s="3"/>
      <c r="G885" s="2" t="str">
        <f ca="1">IF(F885="","",F885-TODAY())</f>
        <v/>
      </c>
      <c r="H885" s="2"/>
      <c r="I885" s="2"/>
    </row>
    <row r="886" spans="1:9">
      <c r="A886" s="2"/>
      <c r="B886" s="2"/>
      <c r="C886" s="2"/>
      <c r="D886" s="2"/>
      <c r="E886" s="3"/>
      <c r="F886" s="3"/>
      <c r="G886" s="2" t="str">
        <f ca="1">IF(F886="","",F886-TODAY())</f>
        <v/>
      </c>
      <c r="H886" s="2"/>
      <c r="I886" s="2"/>
    </row>
    <row r="887" spans="1:9">
      <c r="A887" s="2"/>
      <c r="B887" s="2"/>
      <c r="C887" s="2"/>
      <c r="D887" s="2"/>
      <c r="E887" s="3"/>
      <c r="F887" s="3"/>
      <c r="G887" s="2" t="str">
        <f ca="1">IF(F887="","",F887-TODAY())</f>
        <v/>
      </c>
      <c r="H887" s="2"/>
      <c r="I887" s="2"/>
    </row>
    <row r="888" spans="1:9">
      <c r="A888" s="2"/>
      <c r="B888" s="2"/>
      <c r="C888" s="2"/>
      <c r="D888" s="2"/>
      <c r="E888" s="3"/>
      <c r="F888" s="3"/>
      <c r="G888" s="2" t="str">
        <f ca="1">IF(F888="","",F888-TODAY())</f>
        <v/>
      </c>
      <c r="H888" s="2"/>
      <c r="I888" s="2"/>
    </row>
    <row r="889" spans="1:9">
      <c r="A889" s="2"/>
      <c r="B889" s="2"/>
      <c r="C889" s="2"/>
      <c r="D889" s="2"/>
      <c r="E889" s="3"/>
      <c r="F889" s="3"/>
      <c r="G889" s="2" t="str">
        <f ca="1">IF(F889="","",F889-TODAY())</f>
        <v/>
      </c>
      <c r="H889" s="2"/>
      <c r="I889" s="2"/>
    </row>
    <row r="890" spans="1:9">
      <c r="A890" s="2"/>
      <c r="B890" s="2"/>
      <c r="C890" s="2"/>
      <c r="D890" s="2"/>
      <c r="E890" s="3"/>
      <c r="F890" s="3"/>
      <c r="G890" s="2" t="str">
        <f ca="1">IF(F890="","",F890-TODAY())</f>
        <v/>
      </c>
      <c r="H890" s="2"/>
      <c r="I890" s="2"/>
    </row>
    <row r="891" spans="1:9">
      <c r="A891" s="2"/>
      <c r="B891" s="2"/>
      <c r="C891" s="2"/>
      <c r="D891" s="2"/>
      <c r="E891" s="3"/>
      <c r="F891" s="3"/>
      <c r="G891" s="2" t="str">
        <f ca="1">IF(F891="","",F891-TODAY())</f>
        <v/>
      </c>
      <c r="H891" s="2"/>
      <c r="I891" s="2"/>
    </row>
    <row r="892" spans="1:9">
      <c r="A892" s="2"/>
      <c r="B892" s="2"/>
      <c r="C892" s="2"/>
      <c r="D892" s="2"/>
      <c r="E892" s="3"/>
      <c r="F892" s="3"/>
      <c r="G892" s="2" t="str">
        <f ca="1">IF(F892="","",F892-TODAY())</f>
        <v/>
      </c>
      <c r="H892" s="2"/>
      <c r="I892" s="2"/>
    </row>
    <row r="893" spans="1:9">
      <c r="A893" s="2"/>
      <c r="B893" s="2"/>
      <c r="C893" s="2"/>
      <c r="D893" s="2"/>
      <c r="E893" s="3"/>
      <c r="F893" s="3"/>
      <c r="G893" s="2" t="str">
        <f ca="1">IF(F893="","",F893-TODAY())</f>
        <v/>
      </c>
      <c r="H893" s="2"/>
      <c r="I893" s="2"/>
    </row>
    <row r="894" spans="1:9">
      <c r="A894" s="2"/>
      <c r="B894" s="2"/>
      <c r="C894" s="2"/>
      <c r="D894" s="2"/>
      <c r="E894" s="3"/>
      <c r="F894" s="3"/>
      <c r="G894" s="2" t="str">
        <f ca="1">IF(F894="","",F894-TODAY())</f>
        <v/>
      </c>
      <c r="H894" s="2"/>
      <c r="I894" s="2"/>
    </row>
    <row r="895" spans="1:9">
      <c r="A895" s="2"/>
      <c r="B895" s="2"/>
      <c r="C895" s="2"/>
      <c r="D895" s="2"/>
      <c r="E895" s="3"/>
      <c r="F895" s="3"/>
      <c r="G895" s="2" t="str">
        <f ca="1">IF(F895="","",F895-TODAY())</f>
        <v/>
      </c>
      <c r="H895" s="2"/>
      <c r="I895" s="2"/>
    </row>
    <row r="896" spans="1:9">
      <c r="A896" s="2"/>
      <c r="B896" s="2"/>
      <c r="C896" s="2"/>
      <c r="D896" s="2"/>
      <c r="E896" s="3"/>
      <c r="F896" s="3"/>
      <c r="G896" s="2" t="str">
        <f ca="1">IF(F896="","",F896-TODAY())</f>
        <v/>
      </c>
      <c r="H896" s="2"/>
      <c r="I896" s="2"/>
    </row>
    <row r="897" spans="1:9">
      <c r="A897" s="2"/>
      <c r="B897" s="2"/>
      <c r="C897" s="2"/>
      <c r="D897" s="2"/>
      <c r="E897" s="3"/>
      <c r="F897" s="3"/>
      <c r="G897" s="2" t="str">
        <f ca="1">IF(F897="","",F897-TODAY())</f>
        <v/>
      </c>
      <c r="H897" s="2"/>
      <c r="I897" s="2"/>
    </row>
    <row r="898" spans="1:9">
      <c r="A898" s="2"/>
      <c r="B898" s="2"/>
      <c r="C898" s="2"/>
      <c r="D898" s="2"/>
      <c r="E898" s="3"/>
      <c r="F898" s="3"/>
      <c r="G898" s="2" t="str">
        <f ca="1">IF(F898="","",F898-TODAY())</f>
        <v/>
      </c>
      <c r="H898" s="2"/>
      <c r="I898" s="2"/>
    </row>
    <row r="899" spans="1:9">
      <c r="A899" s="2"/>
      <c r="B899" s="2"/>
      <c r="C899" s="2"/>
      <c r="D899" s="2"/>
      <c r="E899" s="3"/>
      <c r="F899" s="3"/>
      <c r="G899" s="2" t="str">
        <f ca="1">IF(F899="","",F899-TODAY())</f>
        <v/>
      </c>
      <c r="H899" s="2"/>
      <c r="I899" s="2"/>
    </row>
    <row r="900" spans="1:9">
      <c r="A900" s="2"/>
      <c r="B900" s="2"/>
      <c r="C900" s="2"/>
      <c r="D900" s="2"/>
      <c r="E900" s="3"/>
      <c r="F900" s="3"/>
      <c r="G900" s="2" t="str">
        <f ca="1">IF(F900="","",F900-TODAY())</f>
        <v/>
      </c>
      <c r="H900" s="2"/>
      <c r="I900" s="2"/>
    </row>
    <row r="901" spans="1:9">
      <c r="A901" s="2"/>
      <c r="B901" s="2"/>
      <c r="C901" s="2"/>
      <c r="D901" s="2"/>
      <c r="E901" s="3"/>
      <c r="F901" s="3"/>
      <c r="G901" s="2" t="str">
        <f ca="1">IF(F901="","",F901-TODAY())</f>
        <v/>
      </c>
      <c r="H901" s="2"/>
      <c r="I901" s="2"/>
    </row>
    <row r="902" spans="1:9">
      <c r="A902" s="2"/>
      <c r="B902" s="2"/>
      <c r="C902" s="2"/>
      <c r="D902" s="2"/>
      <c r="E902" s="3"/>
      <c r="F902" s="3"/>
      <c r="G902" s="2" t="str">
        <f ca="1">IF(F902="","",F902-TODAY())</f>
        <v/>
      </c>
      <c r="H902" s="2"/>
      <c r="I902" s="2"/>
    </row>
    <row r="903" spans="1:9">
      <c r="A903" s="2"/>
      <c r="B903" s="2"/>
      <c r="C903" s="2"/>
      <c r="D903" s="2"/>
      <c r="E903" s="3"/>
      <c r="F903" s="3"/>
      <c r="G903" s="2" t="str">
        <f ca="1">IF(F903="","",F903-TODAY())</f>
        <v/>
      </c>
      <c r="H903" s="2"/>
      <c r="I903" s="2"/>
    </row>
    <row r="904" spans="1:9">
      <c r="A904" s="2"/>
      <c r="B904" s="2"/>
      <c r="C904" s="2"/>
      <c r="D904" s="2"/>
      <c r="E904" s="3"/>
      <c r="F904" s="3"/>
      <c r="G904" s="2" t="str">
        <f ca="1">IF(F904="","",F904-TODAY())</f>
        <v/>
      </c>
      <c r="H904" s="2"/>
      <c r="I904" s="2"/>
    </row>
    <row r="905" spans="1:9">
      <c r="A905" s="2"/>
      <c r="B905" s="2"/>
      <c r="C905" s="2"/>
      <c r="D905" s="2"/>
      <c r="E905" s="3"/>
      <c r="F905" s="3"/>
      <c r="G905" s="2" t="str">
        <f ca="1">IF(F905="","",F905-TODAY())</f>
        <v/>
      </c>
      <c r="H905" s="2"/>
      <c r="I905" s="2"/>
    </row>
    <row r="906" spans="1:9">
      <c r="A906" s="2"/>
      <c r="B906" s="2"/>
      <c r="C906" s="2"/>
      <c r="D906" s="2"/>
      <c r="E906" s="3"/>
      <c r="F906" s="3"/>
      <c r="G906" s="2" t="str">
        <f ca="1">IF(F906="","",F906-TODAY())</f>
        <v/>
      </c>
      <c r="H906" s="2"/>
      <c r="I906" s="2"/>
    </row>
    <row r="907" spans="1:9">
      <c r="A907" s="2"/>
      <c r="B907" s="2"/>
      <c r="C907" s="2"/>
      <c r="D907" s="2"/>
      <c r="E907" s="3"/>
      <c r="F907" s="3"/>
      <c r="G907" s="2" t="str">
        <f ca="1">IF(F907="","",F907-TODAY())</f>
        <v/>
      </c>
      <c r="H907" s="2"/>
      <c r="I907" s="2"/>
    </row>
    <row r="908" spans="1:9">
      <c r="A908" s="2"/>
      <c r="B908" s="2"/>
      <c r="C908" s="2"/>
      <c r="D908" s="2"/>
      <c r="E908" s="3"/>
      <c r="F908" s="3"/>
      <c r="G908" s="2" t="str">
        <f ca="1">IF(F908="","",F908-TODAY())</f>
        <v/>
      </c>
      <c r="H908" s="2"/>
      <c r="I908" s="2"/>
    </row>
    <row r="909" spans="1:9">
      <c r="A909" s="2"/>
      <c r="B909" s="2"/>
      <c r="C909" s="2"/>
      <c r="D909" s="2"/>
      <c r="E909" s="3"/>
      <c r="F909" s="3"/>
      <c r="G909" s="2" t="str">
        <f ca="1">IF(F909="","",F909-TODAY())</f>
        <v/>
      </c>
      <c r="H909" s="2"/>
      <c r="I909" s="2"/>
    </row>
    <row r="910" spans="1:9">
      <c r="A910" s="2"/>
      <c r="B910" s="2"/>
      <c r="C910" s="2"/>
      <c r="D910" s="2"/>
      <c r="E910" s="3"/>
      <c r="F910" s="3"/>
      <c r="G910" s="2" t="str">
        <f ca="1">IF(F910="","",F910-TODAY())</f>
        <v/>
      </c>
      <c r="H910" s="2"/>
      <c r="I910" s="2"/>
    </row>
    <row r="911" spans="1:9">
      <c r="A911" s="2"/>
      <c r="B911" s="2"/>
      <c r="C911" s="2"/>
      <c r="D911" s="2"/>
      <c r="E911" s="3"/>
      <c r="F911" s="3"/>
      <c r="G911" s="2" t="str">
        <f ca="1">IF(F911="","",F911-TODAY())</f>
        <v/>
      </c>
      <c r="H911" s="2"/>
      <c r="I911" s="2"/>
    </row>
    <row r="912" spans="1:9">
      <c r="A912" s="2"/>
      <c r="B912" s="2"/>
      <c r="C912" s="2"/>
      <c r="D912" s="2"/>
      <c r="E912" s="3"/>
      <c r="F912" s="3"/>
      <c r="G912" s="2" t="str">
        <f ca="1">IF(F912="","",F912-TODAY())</f>
        <v/>
      </c>
      <c r="H912" s="2"/>
      <c r="I912" s="2"/>
    </row>
    <row r="913" spans="1:9">
      <c r="A913" s="2"/>
      <c r="B913" s="2"/>
      <c r="C913" s="2"/>
      <c r="D913" s="2"/>
      <c r="E913" s="3"/>
      <c r="F913" s="3"/>
      <c r="G913" s="2" t="str">
        <f ca="1">IF(F913="","",F913-TODAY())</f>
        <v/>
      </c>
      <c r="H913" s="2"/>
      <c r="I913" s="2"/>
    </row>
    <row r="914" spans="1:9">
      <c r="A914" s="2"/>
      <c r="B914" s="2"/>
      <c r="C914" s="2"/>
      <c r="D914" s="2"/>
      <c r="E914" s="3"/>
      <c r="F914" s="3"/>
      <c r="G914" s="2" t="str">
        <f ca="1">IF(F914="","",F914-TODAY())</f>
        <v/>
      </c>
      <c r="H914" s="2"/>
      <c r="I914" s="2"/>
    </row>
    <row r="915" spans="1:9">
      <c r="A915" s="2"/>
      <c r="B915" s="2"/>
      <c r="C915" s="2"/>
      <c r="D915" s="2"/>
      <c r="E915" s="3"/>
      <c r="F915" s="3"/>
      <c r="G915" s="2" t="str">
        <f ca="1">IF(F915="","",F915-TODAY())</f>
        <v/>
      </c>
      <c r="H915" s="2"/>
      <c r="I915" s="2"/>
    </row>
    <row r="916" spans="1:9">
      <c r="A916" s="2"/>
      <c r="B916" s="2"/>
      <c r="C916" s="2"/>
      <c r="D916" s="2"/>
      <c r="E916" s="3"/>
      <c r="F916" s="3"/>
      <c r="G916" s="2" t="str">
        <f ca="1">IF(F916="","",F916-TODAY())</f>
        <v/>
      </c>
      <c r="H916" s="2"/>
      <c r="I916" s="2"/>
    </row>
    <row r="917" spans="1:9">
      <c r="A917" s="2"/>
      <c r="B917" s="2"/>
      <c r="C917" s="2"/>
      <c r="D917" s="2"/>
      <c r="E917" s="3"/>
      <c r="F917" s="3"/>
      <c r="G917" s="2" t="str">
        <f ca="1">IF(F917="","",F917-TODAY())</f>
        <v/>
      </c>
      <c r="H917" s="2"/>
      <c r="I917" s="2"/>
    </row>
    <row r="918" spans="1:9">
      <c r="A918" s="2"/>
      <c r="B918" s="2"/>
      <c r="C918" s="2"/>
      <c r="D918" s="2"/>
      <c r="E918" s="3"/>
      <c r="F918" s="3"/>
      <c r="G918" s="2" t="str">
        <f ca="1">IF(F918="","",F918-TODAY())</f>
        <v/>
      </c>
      <c r="H918" s="2"/>
      <c r="I918" s="2"/>
    </row>
    <row r="919" spans="1:9">
      <c r="A919" s="2"/>
      <c r="B919" s="2"/>
      <c r="C919" s="2"/>
      <c r="D919" s="2"/>
      <c r="E919" s="3"/>
      <c r="F919" s="3"/>
      <c r="G919" s="2" t="str">
        <f ca="1">IF(F919="","",F919-TODAY())</f>
        <v/>
      </c>
      <c r="H919" s="2"/>
      <c r="I919" s="2"/>
    </row>
    <row r="920" spans="1:9">
      <c r="A920" s="2"/>
      <c r="B920" s="2"/>
      <c r="C920" s="2"/>
      <c r="D920" s="2"/>
      <c r="E920" s="3"/>
      <c r="F920" s="3"/>
      <c r="G920" s="2" t="str">
        <f ca="1">IF(F920="","",F920-TODAY())</f>
        <v/>
      </c>
      <c r="H920" s="2"/>
      <c r="I920" s="2"/>
    </row>
    <row r="921" spans="1:9">
      <c r="A921" s="2"/>
      <c r="B921" s="2"/>
      <c r="C921" s="2"/>
      <c r="D921" s="2"/>
      <c r="E921" s="3"/>
      <c r="F921" s="3"/>
      <c r="G921" s="2" t="str">
        <f ca="1">IF(F921="","",F921-TODAY())</f>
        <v/>
      </c>
      <c r="H921" s="2"/>
      <c r="I921" s="2"/>
    </row>
    <row r="922" spans="1:9">
      <c r="A922" s="2"/>
      <c r="B922" s="2"/>
      <c r="C922" s="2"/>
      <c r="D922" s="2"/>
      <c r="E922" s="3"/>
      <c r="F922" s="3"/>
      <c r="G922" s="2" t="str">
        <f ca="1">IF(F922="","",F922-TODAY())</f>
        <v/>
      </c>
      <c r="H922" s="2"/>
      <c r="I922" s="2"/>
    </row>
    <row r="923" spans="1:9">
      <c r="A923" s="2"/>
      <c r="B923" s="2"/>
      <c r="C923" s="2"/>
      <c r="D923" s="2"/>
      <c r="E923" s="3"/>
      <c r="F923" s="3"/>
      <c r="G923" s="2" t="str">
        <f ca="1">IF(F923="","",F923-TODAY())</f>
        <v/>
      </c>
      <c r="H923" s="2"/>
      <c r="I923" s="2"/>
    </row>
    <row r="924" spans="1:9">
      <c r="A924" s="2"/>
      <c r="B924" s="2"/>
      <c r="C924" s="2"/>
      <c r="D924" s="2"/>
      <c r="E924" s="3"/>
      <c r="F924" s="3"/>
      <c r="G924" s="2" t="str">
        <f ca="1">IF(F924="","",F924-TODAY())</f>
        <v/>
      </c>
      <c r="H924" s="2"/>
      <c r="I924" s="2"/>
    </row>
    <row r="925" spans="1:9">
      <c r="A925" s="2"/>
      <c r="B925" s="2"/>
      <c r="C925" s="2"/>
      <c r="D925" s="2"/>
      <c r="E925" s="3"/>
      <c r="F925" s="3"/>
      <c r="G925" s="2" t="str">
        <f ca="1">IF(F925="","",F925-TODAY())</f>
        <v/>
      </c>
      <c r="H925" s="2"/>
      <c r="I925" s="2"/>
    </row>
    <row r="926" spans="1:9">
      <c r="A926" s="2"/>
      <c r="B926" s="2"/>
      <c r="C926" s="2"/>
      <c r="D926" s="2"/>
      <c r="E926" s="3"/>
      <c r="F926" s="3"/>
      <c r="G926" s="2" t="str">
        <f ca="1">IF(F926="","",F926-TODAY())</f>
        <v/>
      </c>
      <c r="H926" s="2"/>
      <c r="I926" s="2"/>
    </row>
    <row r="927" spans="1:9">
      <c r="A927" s="2"/>
      <c r="B927" s="2"/>
      <c r="C927" s="2"/>
      <c r="D927" s="2"/>
      <c r="E927" s="3"/>
      <c r="F927" s="3"/>
      <c r="G927" s="2" t="str">
        <f ca="1">IF(F927="","",F927-TODAY())</f>
        <v/>
      </c>
      <c r="H927" s="2"/>
      <c r="I927" s="2"/>
    </row>
    <row r="928" spans="1:9">
      <c r="A928" s="2"/>
      <c r="B928" s="2"/>
      <c r="C928" s="2"/>
      <c r="D928" s="2"/>
      <c r="E928" s="3"/>
      <c r="F928" s="3"/>
      <c r="G928" s="2" t="str">
        <f ca="1">IF(F928="","",F928-TODAY())</f>
        <v/>
      </c>
      <c r="H928" s="2"/>
      <c r="I928" s="2"/>
    </row>
    <row r="929" spans="1:9">
      <c r="A929" s="2"/>
      <c r="B929" s="2"/>
      <c r="C929" s="2"/>
      <c r="D929" s="2"/>
      <c r="E929" s="3"/>
      <c r="F929" s="3"/>
      <c r="G929" s="2" t="str">
        <f ca="1">IF(F929="","",F929-TODAY())</f>
        <v/>
      </c>
      <c r="H929" s="2"/>
      <c r="I929" s="2"/>
    </row>
    <row r="930" spans="1:9">
      <c r="A930" s="2"/>
      <c r="B930" s="2"/>
      <c r="C930" s="2"/>
      <c r="D930" s="2"/>
      <c r="E930" s="3"/>
      <c r="F930" s="3"/>
      <c r="G930" s="2" t="str">
        <f ca="1">IF(F930="","",F930-TODAY())</f>
        <v/>
      </c>
      <c r="H930" s="2"/>
      <c r="I930" s="2"/>
    </row>
    <row r="931" spans="1:9">
      <c r="A931" s="2"/>
      <c r="B931" s="2"/>
      <c r="C931" s="2"/>
      <c r="D931" s="2"/>
      <c r="E931" s="3"/>
      <c r="F931" s="3"/>
      <c r="G931" s="2" t="str">
        <f ca="1">IF(F931="","",F931-TODAY())</f>
        <v/>
      </c>
      <c r="H931" s="2"/>
      <c r="I931" s="2"/>
    </row>
    <row r="932" spans="1:9">
      <c r="A932" s="2"/>
      <c r="B932" s="2"/>
      <c r="C932" s="2"/>
      <c r="D932" s="2"/>
      <c r="E932" s="3"/>
      <c r="F932" s="3"/>
      <c r="G932" s="2" t="str">
        <f ca="1">IF(F932="","",F932-TODAY())</f>
        <v/>
      </c>
      <c r="H932" s="2"/>
      <c r="I932" s="2"/>
    </row>
    <row r="933" spans="1:9">
      <c r="A933" s="2"/>
      <c r="B933" s="2"/>
      <c r="C933" s="2"/>
      <c r="D933" s="2"/>
      <c r="E933" s="3"/>
      <c r="F933" s="3"/>
      <c r="G933" s="2" t="str">
        <f ca="1">IF(F933="","",F933-TODAY())</f>
        <v/>
      </c>
      <c r="H933" s="2"/>
      <c r="I933" s="2"/>
    </row>
    <row r="934" spans="1:9">
      <c r="A934" s="2"/>
      <c r="B934" s="2"/>
      <c r="C934" s="2"/>
      <c r="D934" s="2"/>
      <c r="E934" s="3"/>
      <c r="F934" s="3"/>
      <c r="G934" s="2" t="str">
        <f ca="1">IF(F934="","",F934-TODAY())</f>
        <v/>
      </c>
      <c r="H934" s="2"/>
      <c r="I934" s="2"/>
    </row>
    <row r="935" spans="1:9">
      <c r="A935" s="2"/>
      <c r="B935" s="2"/>
      <c r="C935" s="2"/>
      <c r="D935" s="2"/>
      <c r="E935" s="3"/>
      <c r="F935" s="3"/>
      <c r="G935" s="2" t="str">
        <f ca="1">IF(F935="","",F935-TODAY())</f>
        <v/>
      </c>
      <c r="H935" s="2"/>
      <c r="I935" s="2"/>
    </row>
    <row r="936" spans="1:9">
      <c r="A936" s="2"/>
      <c r="B936" s="2"/>
      <c r="C936" s="2"/>
      <c r="D936" s="2"/>
      <c r="E936" s="3"/>
      <c r="F936" s="3"/>
      <c r="G936" s="2" t="str">
        <f ca="1">IF(F936="","",F936-TODAY())</f>
        <v/>
      </c>
      <c r="H936" s="2"/>
      <c r="I936" s="2"/>
    </row>
    <row r="937" spans="1:9">
      <c r="A937" s="2"/>
      <c r="B937" s="2"/>
      <c r="C937" s="2"/>
      <c r="D937" s="2"/>
      <c r="E937" s="3"/>
      <c r="F937" s="3"/>
      <c r="G937" s="2" t="str">
        <f ca="1">IF(F937="","",F937-TODAY())</f>
        <v/>
      </c>
      <c r="H937" s="2"/>
      <c r="I937" s="2"/>
    </row>
    <row r="938" spans="1:9">
      <c r="A938" s="2"/>
      <c r="B938" s="2"/>
      <c r="C938" s="2"/>
      <c r="D938" s="2"/>
      <c r="E938" s="3"/>
      <c r="F938" s="3"/>
      <c r="G938" s="2" t="str">
        <f ca="1">IF(F938="","",F938-TODAY())</f>
        <v/>
      </c>
      <c r="H938" s="2"/>
      <c r="I938" s="2"/>
    </row>
    <row r="939" spans="1:9">
      <c r="A939" s="2"/>
      <c r="B939" s="2"/>
      <c r="C939" s="2"/>
      <c r="D939" s="2"/>
      <c r="E939" s="3"/>
      <c r="F939" s="3"/>
      <c r="G939" s="2" t="str">
        <f ca="1">IF(F939="","",F939-TODAY())</f>
        <v/>
      </c>
      <c r="H939" s="2"/>
      <c r="I939" s="2"/>
    </row>
    <row r="940" spans="1:9">
      <c r="A940" s="2"/>
      <c r="B940" s="2"/>
      <c r="C940" s="2"/>
      <c r="D940" s="2"/>
      <c r="E940" s="3"/>
      <c r="F940" s="3"/>
      <c r="G940" s="2" t="str">
        <f ca="1">IF(F940="","",F940-TODAY())</f>
        <v/>
      </c>
      <c r="H940" s="2"/>
      <c r="I940" s="2"/>
    </row>
    <row r="941" spans="1:9">
      <c r="A941" s="2"/>
      <c r="B941" s="2"/>
      <c r="C941" s="2"/>
      <c r="D941" s="2"/>
      <c r="E941" s="3"/>
      <c r="F941" s="3"/>
      <c r="G941" s="2" t="str">
        <f ca="1">IF(F941="","",F941-TODAY())</f>
        <v/>
      </c>
      <c r="H941" s="2"/>
      <c r="I941" s="2"/>
    </row>
    <row r="942" spans="1:9">
      <c r="A942" s="2"/>
      <c r="B942" s="2"/>
      <c r="C942" s="2"/>
      <c r="D942" s="2"/>
      <c r="E942" s="3"/>
      <c r="F942" s="3"/>
      <c r="G942" s="2" t="str">
        <f ca="1">IF(F942="","",F942-TODAY())</f>
        <v/>
      </c>
      <c r="H942" s="2"/>
      <c r="I942" s="2"/>
    </row>
    <row r="943" spans="1:9">
      <c r="A943" s="2"/>
      <c r="B943" s="2"/>
      <c r="C943" s="2"/>
      <c r="D943" s="2"/>
      <c r="E943" s="3"/>
      <c r="F943" s="3"/>
      <c r="G943" s="2" t="str">
        <f ca="1">IF(F943="","",F943-TODAY())</f>
        <v/>
      </c>
      <c r="H943" s="2"/>
      <c r="I943" s="2"/>
    </row>
    <row r="944" spans="1:9">
      <c r="A944" s="2"/>
      <c r="B944" s="2"/>
      <c r="C944" s="2"/>
      <c r="D944" s="2"/>
      <c r="E944" s="3"/>
      <c r="F944" s="3"/>
      <c r="G944" s="2" t="str">
        <f ca="1">IF(F944="","",F944-TODAY())</f>
        <v/>
      </c>
      <c r="H944" s="2"/>
      <c r="I944" s="2"/>
    </row>
    <row r="945" spans="1:9">
      <c r="A945" s="2"/>
      <c r="B945" s="2"/>
      <c r="C945" s="2"/>
      <c r="D945" s="2"/>
      <c r="E945" s="3"/>
      <c r="F945" s="3"/>
      <c r="G945" s="2" t="str">
        <f ca="1">IF(F945="","",F945-TODAY())</f>
        <v/>
      </c>
      <c r="H945" s="2"/>
      <c r="I945" s="2"/>
    </row>
    <row r="946" spans="1:9">
      <c r="A946" s="2"/>
      <c r="B946" s="2"/>
      <c r="C946" s="2"/>
      <c r="D946" s="2"/>
      <c r="E946" s="3"/>
      <c r="F946" s="3"/>
      <c r="G946" s="2" t="str">
        <f ca="1">IF(F946="","",F946-TODAY())</f>
        <v/>
      </c>
      <c r="H946" s="2"/>
      <c r="I946" s="2"/>
    </row>
    <row r="947" spans="1:9">
      <c r="A947" s="2"/>
      <c r="B947" s="2"/>
      <c r="C947" s="2"/>
      <c r="D947" s="2"/>
      <c r="E947" s="3"/>
      <c r="F947" s="3"/>
      <c r="G947" s="2" t="str">
        <f ca="1">IF(F947="","",F947-TODAY())</f>
        <v/>
      </c>
      <c r="H947" s="2"/>
      <c r="I947" s="2"/>
    </row>
    <row r="948" spans="1:9">
      <c r="A948" s="2"/>
      <c r="B948" s="2"/>
      <c r="C948" s="2"/>
      <c r="D948" s="2"/>
      <c r="E948" s="3"/>
      <c r="F948" s="3"/>
      <c r="G948" s="2" t="str">
        <f ca="1">IF(F948="","",F948-TODAY())</f>
        <v/>
      </c>
      <c r="H948" s="2"/>
      <c r="I948" s="2"/>
    </row>
    <row r="949" spans="1:9">
      <c r="A949" s="2"/>
      <c r="B949" s="2"/>
      <c r="C949" s="2"/>
      <c r="D949" s="2"/>
      <c r="E949" s="3"/>
      <c r="F949" s="3"/>
      <c r="G949" s="2" t="str">
        <f ca="1">IF(F949="","",F949-TODAY())</f>
        <v/>
      </c>
      <c r="H949" s="2"/>
      <c r="I949" s="2"/>
    </row>
    <row r="950" spans="1:9">
      <c r="A950" s="2"/>
      <c r="B950" s="2"/>
      <c r="C950" s="2"/>
      <c r="D950" s="2"/>
      <c r="E950" s="3"/>
      <c r="F950" s="3"/>
      <c r="G950" s="2" t="str">
        <f ca="1">IF(F950="","",F950-TODAY())</f>
        <v/>
      </c>
      <c r="H950" s="2"/>
      <c r="I950" s="2"/>
    </row>
    <row r="951" spans="1:9">
      <c r="A951" s="2"/>
      <c r="B951" s="2"/>
      <c r="C951" s="2"/>
      <c r="D951" s="2"/>
      <c r="E951" s="3"/>
      <c r="F951" s="3"/>
      <c r="G951" s="2" t="str">
        <f ca="1">IF(F951="","",F951-TODAY())</f>
        <v/>
      </c>
      <c r="H951" s="2"/>
      <c r="I951" s="2"/>
    </row>
    <row r="952" spans="1:9">
      <c r="A952" s="2"/>
      <c r="B952" s="2"/>
      <c r="C952" s="2"/>
      <c r="D952" s="2"/>
      <c r="E952" s="3"/>
      <c r="F952" s="3"/>
      <c r="G952" s="2" t="str">
        <f ca="1">IF(F952="","",F952-TODAY())</f>
        <v/>
      </c>
      <c r="H952" s="2"/>
      <c r="I952" s="2"/>
    </row>
    <row r="953" spans="1:9">
      <c r="A953" s="2"/>
      <c r="B953" s="2"/>
      <c r="C953" s="2"/>
      <c r="D953" s="2"/>
      <c r="E953" s="3"/>
      <c r="F953" s="3"/>
      <c r="G953" s="2" t="str">
        <f ca="1">IF(F953="","",F953-TODAY())</f>
        <v/>
      </c>
      <c r="H953" s="2"/>
      <c r="I953" s="2"/>
    </row>
    <row r="954" spans="1:9">
      <c r="A954" s="2"/>
      <c r="B954" s="2"/>
      <c r="C954" s="2"/>
      <c r="D954" s="2"/>
      <c r="E954" s="3"/>
      <c r="F954" s="3"/>
      <c r="G954" s="2" t="str">
        <f ca="1">IF(F954="","",F954-TODAY())</f>
        <v/>
      </c>
      <c r="H954" s="2"/>
      <c r="I954" s="2"/>
    </row>
    <row r="955" spans="1:9">
      <c r="A955" s="2"/>
      <c r="B955" s="2"/>
      <c r="C955" s="2"/>
      <c r="D955" s="2"/>
      <c r="E955" s="3"/>
      <c r="F955" s="3"/>
      <c r="G955" s="2" t="str">
        <f ca="1">IF(F955="","",F955-TODAY())</f>
        <v/>
      </c>
      <c r="H955" s="2"/>
      <c r="I955" s="2"/>
    </row>
    <row r="956" spans="1:9">
      <c r="A956" s="2"/>
      <c r="B956" s="2"/>
      <c r="C956" s="2"/>
      <c r="D956" s="2"/>
      <c r="E956" s="3"/>
      <c r="F956" s="3"/>
      <c r="G956" s="2" t="str">
        <f ca="1">IF(F956="","",F956-TODAY())</f>
        <v/>
      </c>
      <c r="H956" s="2"/>
      <c r="I956" s="2"/>
    </row>
    <row r="957" spans="1:9">
      <c r="A957" s="2"/>
      <c r="B957" s="2"/>
      <c r="C957" s="2"/>
      <c r="D957" s="2"/>
      <c r="E957" s="3"/>
      <c r="F957" s="3"/>
      <c r="G957" s="2" t="str">
        <f ca="1">IF(F957="","",F957-TODAY())</f>
        <v/>
      </c>
      <c r="H957" s="2"/>
      <c r="I957" s="2"/>
    </row>
    <row r="958" spans="1:9">
      <c r="A958" s="2"/>
      <c r="B958" s="2"/>
      <c r="C958" s="2"/>
      <c r="D958" s="2"/>
      <c r="E958" s="3"/>
      <c r="F958" s="3"/>
      <c r="G958" s="2" t="str">
        <f ca="1">IF(F958="","",F958-TODAY())</f>
        <v/>
      </c>
      <c r="H958" s="2"/>
      <c r="I958" s="2"/>
    </row>
    <row r="959" spans="1:9">
      <c r="A959" s="2"/>
      <c r="B959" s="2"/>
      <c r="C959" s="2"/>
      <c r="D959" s="2"/>
      <c r="E959" s="3"/>
      <c r="F959" s="3"/>
      <c r="G959" s="2" t="str">
        <f ca="1">IF(F959="","",F959-TODAY())</f>
        <v/>
      </c>
      <c r="H959" s="2"/>
      <c r="I959" s="2"/>
    </row>
    <row r="960" spans="1:9">
      <c r="A960" s="2"/>
      <c r="B960" s="2"/>
      <c r="C960" s="2"/>
      <c r="D960" s="2"/>
      <c r="E960" s="3"/>
      <c r="F960" s="3"/>
      <c r="G960" s="2" t="str">
        <f ca="1">IF(F960="","",F960-TODAY())</f>
        <v/>
      </c>
      <c r="H960" s="2"/>
      <c r="I960" s="2"/>
    </row>
    <row r="961" spans="1:9">
      <c r="A961" s="2"/>
      <c r="B961" s="2"/>
      <c r="C961" s="2"/>
      <c r="D961" s="2"/>
      <c r="E961" s="3"/>
      <c r="F961" s="3"/>
      <c r="G961" s="2" t="str">
        <f ca="1">IF(F961="","",F961-TODAY())</f>
        <v/>
      </c>
      <c r="H961" s="2"/>
      <c r="I961" s="2"/>
    </row>
    <row r="962" spans="1:9">
      <c r="A962" s="2"/>
      <c r="B962" s="2"/>
      <c r="C962" s="2"/>
      <c r="D962" s="2"/>
      <c r="E962" s="3"/>
      <c r="F962" s="3"/>
      <c r="G962" s="2" t="str">
        <f ca="1">IF(F962="","",F962-TODAY())</f>
        <v/>
      </c>
      <c r="H962" s="2"/>
      <c r="I962" s="2"/>
    </row>
    <row r="963" spans="1:9">
      <c r="A963" s="2"/>
      <c r="B963" s="2"/>
      <c r="C963" s="2"/>
      <c r="D963" s="2"/>
      <c r="E963" s="3"/>
      <c r="F963" s="3"/>
      <c r="G963" s="2" t="str">
        <f ca="1">IF(F963="","",F963-TODAY())</f>
        <v/>
      </c>
      <c r="H963" s="2"/>
      <c r="I963" s="2"/>
    </row>
    <row r="964" spans="1:9">
      <c r="A964" s="2"/>
      <c r="B964" s="2"/>
      <c r="C964" s="2"/>
      <c r="D964" s="2"/>
      <c r="E964" s="3"/>
      <c r="F964" s="3"/>
      <c r="G964" s="2" t="str">
        <f ca="1">IF(F964="","",F964-TODAY())</f>
        <v/>
      </c>
      <c r="H964" s="2"/>
      <c r="I964" s="2"/>
    </row>
    <row r="965" spans="1:9">
      <c r="A965" s="2"/>
      <c r="B965" s="2"/>
      <c r="C965" s="2"/>
      <c r="D965" s="2"/>
      <c r="E965" s="3"/>
      <c r="F965" s="3"/>
      <c r="G965" s="2" t="str">
        <f ca="1">IF(F965="","",F965-TODAY())</f>
        <v/>
      </c>
      <c r="H965" s="2"/>
      <c r="I965" s="2"/>
    </row>
    <row r="966" spans="1:9">
      <c r="A966" s="2"/>
      <c r="B966" s="2"/>
      <c r="C966" s="2"/>
      <c r="D966" s="2"/>
      <c r="E966" s="3"/>
      <c r="F966" s="3"/>
      <c r="G966" s="2" t="str">
        <f ca="1">IF(F966="","",F966-TODAY())</f>
        <v/>
      </c>
      <c r="H966" s="2"/>
      <c r="I966" s="2"/>
    </row>
    <row r="967" spans="1:9">
      <c r="A967" s="2"/>
      <c r="B967" s="2"/>
      <c r="C967" s="2"/>
      <c r="D967" s="2"/>
      <c r="E967" s="3"/>
      <c r="F967" s="3"/>
      <c r="G967" s="2" t="str">
        <f ca="1">IF(F967="","",F967-TODAY())</f>
        <v/>
      </c>
      <c r="H967" s="2"/>
      <c r="I967" s="2"/>
    </row>
    <row r="968" spans="1:9">
      <c r="A968" s="2"/>
      <c r="B968" s="2"/>
      <c r="C968" s="2"/>
      <c r="D968" s="2"/>
      <c r="E968" s="3"/>
      <c r="F968" s="3"/>
      <c r="G968" s="2" t="str">
        <f ca="1">IF(F968="","",F968-TODAY())</f>
        <v/>
      </c>
      <c r="H968" s="2"/>
      <c r="I968" s="2"/>
    </row>
    <row r="969" spans="1:9">
      <c r="A969" s="2"/>
      <c r="B969" s="2"/>
      <c r="C969" s="2"/>
      <c r="D969" s="2"/>
      <c r="E969" s="3"/>
      <c r="F969" s="3"/>
      <c r="G969" s="2" t="str">
        <f ca="1">IF(F969="","",F969-TODAY())</f>
        <v/>
      </c>
      <c r="H969" s="2"/>
      <c r="I969" s="2"/>
    </row>
    <row r="970" spans="1:9">
      <c r="A970" s="2"/>
      <c r="B970" s="2"/>
      <c r="C970" s="2"/>
      <c r="D970" s="2"/>
      <c r="E970" s="3"/>
      <c r="F970" s="3"/>
      <c r="G970" s="2" t="str">
        <f ca="1">IF(F970="","",F970-TODAY())</f>
        <v/>
      </c>
      <c r="H970" s="2"/>
      <c r="I970" s="2"/>
    </row>
    <row r="971" spans="1:9">
      <c r="A971" s="2"/>
      <c r="B971" s="2"/>
      <c r="C971" s="2"/>
      <c r="D971" s="2"/>
      <c r="E971" s="3"/>
      <c r="F971" s="3"/>
      <c r="G971" s="2" t="str">
        <f ca="1">IF(F971="","",F971-TODAY())</f>
        <v/>
      </c>
      <c r="H971" s="2"/>
      <c r="I971" s="2"/>
    </row>
    <row r="972" spans="1:9">
      <c r="A972" s="2"/>
      <c r="B972" s="2"/>
      <c r="C972" s="2"/>
      <c r="D972" s="2"/>
      <c r="E972" s="3"/>
      <c r="F972" s="3"/>
      <c r="G972" s="2" t="str">
        <f ca="1">IF(F972="","",F972-TODAY())</f>
        <v/>
      </c>
      <c r="H972" s="2"/>
      <c r="I972" s="2"/>
    </row>
    <row r="973" spans="1:9">
      <c r="A973" s="2"/>
      <c r="B973" s="2"/>
      <c r="C973" s="2"/>
      <c r="D973" s="2"/>
      <c r="E973" s="3"/>
      <c r="F973" s="3"/>
      <c r="G973" s="2" t="str">
        <f ca="1">IF(F973="","",F973-TODAY())</f>
        <v/>
      </c>
      <c r="H973" s="2"/>
      <c r="I973" s="2"/>
    </row>
    <row r="974" spans="1:9">
      <c r="A974" s="2"/>
      <c r="B974" s="2"/>
      <c r="C974" s="2"/>
      <c r="D974" s="2"/>
      <c r="E974" s="3"/>
      <c r="F974" s="3"/>
      <c r="G974" s="2" t="str">
        <f ca="1">IF(F974="","",F974-TODAY())</f>
        <v/>
      </c>
      <c r="H974" s="2"/>
      <c r="I974" s="2"/>
    </row>
    <row r="975" spans="1:9">
      <c r="A975" s="2"/>
      <c r="B975" s="2"/>
      <c r="C975" s="2"/>
      <c r="D975" s="2"/>
      <c r="E975" s="3"/>
      <c r="F975" s="3"/>
      <c r="G975" s="2" t="str">
        <f ca="1">IF(F975="","",F975-TODAY())</f>
        <v/>
      </c>
      <c r="H975" s="2"/>
      <c r="I975" s="2"/>
    </row>
    <row r="976" spans="1:9">
      <c r="A976" s="2"/>
      <c r="B976" s="2"/>
      <c r="C976" s="2"/>
      <c r="D976" s="2"/>
      <c r="E976" s="3"/>
      <c r="F976" s="3"/>
      <c r="G976" s="2" t="str">
        <f ca="1">IF(F976="","",F976-TODAY())</f>
        <v/>
      </c>
      <c r="H976" s="2"/>
      <c r="I976" s="2"/>
    </row>
    <row r="977" spans="1:9">
      <c r="A977" s="2"/>
      <c r="B977" s="2"/>
      <c r="C977" s="2"/>
      <c r="D977" s="2"/>
      <c r="E977" s="3"/>
      <c r="F977" s="3"/>
      <c r="G977" s="2" t="str">
        <f ca="1">IF(F977="","",F977-TODAY())</f>
        <v/>
      </c>
      <c r="H977" s="2"/>
      <c r="I977" s="2"/>
    </row>
    <row r="978" spans="1:9">
      <c r="A978" s="2"/>
      <c r="B978" s="2"/>
      <c r="C978" s="2"/>
      <c r="D978" s="2"/>
      <c r="E978" s="3"/>
      <c r="F978" s="3"/>
      <c r="G978" s="2" t="str">
        <f ca="1">IF(F978="","",F978-TODAY())</f>
        <v/>
      </c>
      <c r="H978" s="2"/>
      <c r="I978" s="2"/>
    </row>
    <row r="979" spans="1:9">
      <c r="A979" s="2"/>
      <c r="B979" s="2"/>
      <c r="C979" s="2"/>
      <c r="D979" s="2"/>
      <c r="E979" s="3"/>
      <c r="F979" s="3"/>
      <c r="G979" s="2" t="str">
        <f ca="1">IF(F979="","",F979-TODAY())</f>
        <v/>
      </c>
      <c r="H979" s="2"/>
      <c r="I979" s="2"/>
    </row>
    <row r="980" spans="1:9">
      <c r="A980" s="2"/>
      <c r="B980" s="2"/>
      <c r="C980" s="2"/>
      <c r="D980" s="2"/>
      <c r="E980" s="3"/>
      <c r="F980" s="3"/>
      <c r="G980" s="2" t="str">
        <f ca="1">IF(F980="","",F980-TODAY())</f>
        <v/>
      </c>
      <c r="H980" s="2"/>
      <c r="I980" s="2"/>
    </row>
    <row r="981" spans="1:9">
      <c r="A981" s="2"/>
      <c r="B981" s="2"/>
      <c r="C981" s="2"/>
      <c r="D981" s="2"/>
      <c r="E981" s="3"/>
      <c r="F981" s="3"/>
      <c r="G981" s="2" t="str">
        <f ca="1">IF(F981="","",F981-TODAY())</f>
        <v/>
      </c>
      <c r="H981" s="2"/>
      <c r="I981" s="2"/>
    </row>
    <row r="982" spans="1:9">
      <c r="A982" s="2"/>
      <c r="B982" s="2"/>
      <c r="C982" s="2"/>
      <c r="D982" s="2"/>
      <c r="E982" s="3"/>
      <c r="F982" s="3"/>
      <c r="G982" s="2" t="str">
        <f ca="1">IF(F982="","",F982-TODAY())</f>
        <v/>
      </c>
      <c r="H982" s="2"/>
      <c r="I982" s="2"/>
    </row>
    <row r="983" spans="1:9">
      <c r="A983" s="2"/>
      <c r="B983" s="2"/>
      <c r="C983" s="2"/>
      <c r="D983" s="2"/>
      <c r="E983" s="3"/>
      <c r="F983" s="3"/>
      <c r="G983" s="2" t="str">
        <f ca="1">IF(F983="","",F983-TODAY())</f>
        <v/>
      </c>
      <c r="H983" s="2"/>
      <c r="I983" s="2"/>
    </row>
    <row r="984" spans="1:9">
      <c r="A984" s="2"/>
      <c r="B984" s="2"/>
      <c r="C984" s="2"/>
      <c r="D984" s="2"/>
      <c r="E984" s="3"/>
      <c r="F984" s="3"/>
      <c r="G984" s="2" t="str">
        <f ca="1">IF(F984="","",F984-TODAY())</f>
        <v/>
      </c>
      <c r="H984" s="2"/>
      <c r="I984" s="2"/>
    </row>
    <row r="985" spans="1:9">
      <c r="A985" s="2"/>
      <c r="B985" s="2"/>
      <c r="C985" s="2"/>
      <c r="D985" s="2"/>
      <c r="E985" s="3"/>
      <c r="F985" s="3"/>
      <c r="G985" s="2" t="str">
        <f ca="1">IF(F985="","",F985-TODAY())</f>
        <v/>
      </c>
      <c r="H985" s="2"/>
      <c r="I985" s="2"/>
    </row>
    <row r="986" spans="1:9">
      <c r="A986" s="2"/>
      <c r="B986" s="2"/>
      <c r="C986" s="2"/>
      <c r="D986" s="2"/>
      <c r="E986" s="3"/>
      <c r="F986" s="3"/>
      <c r="G986" s="2" t="str">
        <f ca="1">IF(F986="","",F986-TODAY())</f>
        <v/>
      </c>
      <c r="H986" s="2"/>
      <c r="I986" s="2"/>
    </row>
    <row r="987" spans="1:9">
      <c r="A987" s="2"/>
      <c r="B987" s="2"/>
      <c r="C987" s="2"/>
      <c r="D987" s="2"/>
      <c r="E987" s="3"/>
      <c r="F987" s="3"/>
      <c r="G987" s="2" t="str">
        <f ca="1">IF(F987="","",F987-TODAY())</f>
        <v/>
      </c>
      <c r="H987" s="2"/>
      <c r="I987" s="2"/>
    </row>
    <row r="988" spans="1:9">
      <c r="A988" s="2"/>
      <c r="B988" s="2"/>
      <c r="C988" s="2"/>
      <c r="D988" s="2"/>
      <c r="E988" s="3"/>
      <c r="F988" s="3"/>
      <c r="G988" s="2" t="str">
        <f ca="1">IF(F988="","",F988-TODAY())</f>
        <v/>
      </c>
      <c r="H988" s="2"/>
      <c r="I988" s="2"/>
    </row>
    <row r="989" spans="1:9">
      <c r="A989" s="2"/>
      <c r="B989" s="2"/>
      <c r="C989" s="2"/>
      <c r="D989" s="2"/>
      <c r="E989" s="3"/>
      <c r="F989" s="3"/>
      <c r="G989" s="2" t="str">
        <f ca="1">IF(F989="","",F989-TODAY())</f>
        <v/>
      </c>
      <c r="H989" s="2"/>
      <c r="I989" s="2"/>
    </row>
    <row r="990" spans="1:9">
      <c r="A990" s="2"/>
      <c r="B990" s="2"/>
      <c r="C990" s="2"/>
      <c r="D990" s="2"/>
      <c r="E990" s="3"/>
      <c r="F990" s="3"/>
      <c r="G990" s="2" t="str">
        <f ca="1">IF(F990="","",F990-TODAY())</f>
        <v/>
      </c>
      <c r="H990" s="2"/>
      <c r="I990" s="2"/>
    </row>
    <row r="991" spans="1:9">
      <c r="A991" s="2"/>
      <c r="B991" s="2"/>
      <c r="C991" s="2"/>
      <c r="D991" s="2"/>
      <c r="E991" s="3"/>
      <c r="F991" s="3"/>
      <c r="G991" s="2" t="str">
        <f ca="1">IF(F991="","",F991-TODAY())</f>
        <v/>
      </c>
      <c r="H991" s="2"/>
      <c r="I991" s="2"/>
    </row>
    <row r="992" spans="1:9">
      <c r="A992" s="2"/>
      <c r="B992" s="2"/>
      <c r="C992" s="2"/>
      <c r="D992" s="2"/>
      <c r="E992" s="3"/>
      <c r="F992" s="3"/>
      <c r="G992" s="2" t="str">
        <f ca="1">IF(F992="","",F992-TODAY())</f>
        <v/>
      </c>
      <c r="H992" s="2"/>
      <c r="I992" s="2"/>
    </row>
    <row r="993" spans="1:9">
      <c r="A993" s="2"/>
      <c r="B993" s="2"/>
      <c r="C993" s="2"/>
      <c r="D993" s="2"/>
      <c r="E993" s="3"/>
      <c r="F993" s="3"/>
      <c r="G993" s="2" t="str">
        <f ca="1">IF(F993="","",F993-TODAY())</f>
        <v/>
      </c>
      <c r="H993" s="2"/>
      <c r="I993" s="2"/>
    </row>
    <row r="994" spans="1:9">
      <c r="A994" s="2"/>
      <c r="B994" s="2"/>
      <c r="C994" s="2"/>
      <c r="D994" s="2"/>
      <c r="E994" s="3"/>
      <c r="F994" s="3"/>
      <c r="G994" s="2" t="str">
        <f ca="1">IF(F994="","",F994-TODAY())</f>
        <v/>
      </c>
      <c r="H994" s="2"/>
      <c r="I994" s="2"/>
    </row>
    <row r="995" spans="1:9">
      <c r="A995" s="2"/>
      <c r="B995" s="2"/>
      <c r="C995" s="2"/>
      <c r="D995" s="2"/>
      <c r="E995" s="3"/>
      <c r="F995" s="3"/>
      <c r="G995" s="2" t="str">
        <f ca="1">IF(F995="","",F995-TODAY())</f>
        <v/>
      </c>
      <c r="H995" s="2"/>
      <c r="I995" s="2"/>
    </row>
    <row r="996" spans="1:9">
      <c r="A996" s="2"/>
      <c r="B996" s="2"/>
      <c r="C996" s="2"/>
      <c r="D996" s="2"/>
      <c r="E996" s="3"/>
      <c r="F996" s="3"/>
      <c r="G996" s="2" t="str">
        <f ca="1">IF(F996="","",F996-TODAY())</f>
        <v/>
      </c>
      <c r="H996" s="2"/>
      <c r="I996" s="2"/>
    </row>
    <row r="997" spans="1:9">
      <c r="A997" s="2"/>
      <c r="B997" s="2"/>
      <c r="C997" s="2"/>
      <c r="D997" s="2"/>
      <c r="E997" s="3"/>
      <c r="F997" s="3"/>
      <c r="G997" s="2" t="str">
        <f ca="1">IF(F997="","",F997-TODAY())</f>
        <v/>
      </c>
      <c r="H997" s="2"/>
      <c r="I997" s="2"/>
    </row>
    <row r="998" spans="1:9">
      <c r="A998" s="2"/>
      <c r="B998" s="2"/>
      <c r="C998" s="2"/>
      <c r="D998" s="2"/>
      <c r="E998" s="3"/>
      <c r="F998" s="3"/>
      <c r="G998" s="2" t="str">
        <f ca="1">IF(F998="","",F998-TODAY())</f>
        <v/>
      </c>
      <c r="H998" s="2"/>
      <c r="I998" s="2"/>
    </row>
    <row r="999" spans="1:9">
      <c r="A999" s="2"/>
      <c r="B999" s="2"/>
      <c r="C999" s="2"/>
      <c r="D999" s="2"/>
      <c r="E999" s="3"/>
      <c r="F999" s="3"/>
      <c r="G999" s="2" t="str">
        <f ca="1">IF(F999="","",F999-TODAY())</f>
        <v/>
      </c>
      <c r="H999" s="2"/>
      <c r="I999" s="2"/>
    </row>
    <row r="1000" spans="1:9">
      <c r="A1000" s="2"/>
      <c r="B1000" s="2"/>
      <c r="C1000" s="2"/>
      <c r="D1000" s="2"/>
      <c r="E1000" s="3"/>
      <c r="F1000" s="3"/>
      <c r="G1000" s="2" t="str">
        <f ca="1">IF(F1000="","",F1000-TODAY())</f>
        <v/>
      </c>
      <c r="H1000" s="2"/>
      <c r="I1000" s="2"/>
    </row>
  </sheetData>
  <autoFilter ref="A10:I210" xr:uid="{00000000-0009-0000-0000-000000000000}"/>
  <mergeCells count="12">
    <mergeCell ref="A1:I1"/>
    <mergeCell ref="H5:I5"/>
    <mergeCell ref="E4:G4"/>
    <mergeCell ref="A8:I8"/>
    <mergeCell ref="H4:I4"/>
    <mergeCell ref="C4:D4"/>
    <mergeCell ref="A4:B4"/>
    <mergeCell ref="A7:I7"/>
    <mergeCell ref="A2:I2"/>
    <mergeCell ref="E5:G5"/>
    <mergeCell ref="C5:D5"/>
    <mergeCell ref="A5:B5"/>
  </mergeCells>
  <conditionalFormatting sqref="H11:H1000">
    <cfRule type="cellIs" dxfId="66" priority="2" operator="equal">
      <formula>"Low"</formula>
    </cfRule>
    <cfRule type="cellIs" dxfId="65" priority="3" operator="equal">
      <formula>"Medium"</formula>
    </cfRule>
    <cfRule type="cellIs" dxfId="64" priority="4" operator="equal">
      <formula>"High"</formula>
    </cfRule>
  </conditionalFormatting>
  <conditionalFormatting sqref="A11:I210">
    <cfRule type="expression" dxfId="63" priority="5">
      <formula>MOD(ROW(),2)=0</formula>
    </cfRule>
  </conditionalFormatting>
  <conditionalFormatting sqref="E5">
    <cfRule type="cellIs" dxfId="62" priority="6" operator="greaterThan">
      <formula>0</formula>
    </cfRule>
  </conditionalFormatting>
  <conditionalFormatting sqref="H5">
    <cfRule type="cellIs" dxfId="61" priority="7" operator="greaterThan">
      <formula>0</formula>
    </cfRule>
  </conditionalFormatting>
  <conditionalFormatting sqref="A211:I1000">
    <cfRule type="expression" dxfId="60" priority="1">
      <formula>MOD(ROW(),2)=0</formula>
    </cfRule>
  </conditionalFormatting>
  <dataValidations count="2">
    <dataValidation type="list" allowBlank="1" showInputMessage="1" showErrorMessage="1" sqref="B11:B1000" xr:uid="{5D0F02E8-53EB-4307-BB77-2748D730E28B}">
      <formula1>"Onboarding,Active,Paused,Offboarding,Closed"</formula1>
    </dataValidation>
    <dataValidation type="list" allowBlank="1" showInputMessage="1" showErrorMessage="1" sqref="H11:H1000" xr:uid="{3DF9716C-E77C-4652-93D0-3439315638AB}">
      <formula1>"Low,Medium,High"</formula1>
    </dataValidation>
  </dataValidation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338CA"/>
  </sheetPr>
  <dimension ref="A1:K210"/>
  <sheetViews>
    <sheetView showGridLines="0" workbookViewId="0"/>
  </sheetViews>
  <sheetFormatPr defaultRowHeight="15"/>
  <cols>
    <col min="1" max="1" width="26" customWidth="1"/>
    <col min="2" max="2" width="24" customWidth="1"/>
    <col min="3" max="3" width="18" customWidth="1"/>
    <col min="4" max="4" width="30" customWidth="1"/>
    <col min="5" max="7" width="14" customWidth="1"/>
    <col min="8" max="8" width="16" customWidth="1"/>
    <col min="9" max="9" width="14" customWidth="1"/>
    <col min="10" max="10" width="16" customWidth="1"/>
    <col min="11" max="11" width="34" customWidth="1"/>
  </cols>
  <sheetData>
    <row r="1" spans="1:11" ht="36" customHeight="1">
      <c r="A1" s="4" t="s">
        <v>83</v>
      </c>
      <c r="B1" s="13"/>
      <c r="C1" s="13"/>
      <c r="D1" s="13"/>
      <c r="E1" s="13"/>
      <c r="F1" s="13"/>
      <c r="G1" s="13"/>
      <c r="H1" s="13"/>
      <c r="I1" s="13"/>
      <c r="J1" s="13"/>
      <c r="K1" s="13"/>
    </row>
    <row r="2" spans="1:11" ht="24" customHeight="1">
      <c r="A2" s="9" t="s">
        <v>84</v>
      </c>
      <c r="B2" s="14"/>
      <c r="C2" s="14"/>
      <c r="D2" s="14"/>
      <c r="E2" s="14"/>
      <c r="F2" s="14"/>
      <c r="G2" s="14"/>
      <c r="H2" s="14"/>
      <c r="I2" s="14"/>
      <c r="J2" s="14"/>
      <c r="K2" s="14"/>
    </row>
    <row r="3" spans="1:11" ht="8.1" customHeight="1"/>
    <row r="4" spans="1:11" ht="20.100000000000001" customHeight="1">
      <c r="A4" s="6" t="s">
        <v>85</v>
      </c>
      <c r="B4" s="15"/>
      <c r="C4" s="6" t="s">
        <v>86</v>
      </c>
      <c r="D4" s="15"/>
      <c r="E4" s="15"/>
      <c r="F4" s="6" t="s">
        <v>87</v>
      </c>
      <c r="G4" s="15"/>
      <c r="H4" s="15"/>
      <c r="I4" s="15"/>
      <c r="J4" s="6" t="s">
        <v>88</v>
      </c>
      <c r="K4" s="15"/>
    </row>
    <row r="5" spans="1:11" ht="33.950000000000003" customHeight="1">
      <c r="A5" s="5">
        <f>COUNTIF($G$11:$G$210,"In progress")</f>
        <v>11</v>
      </c>
      <c r="B5" s="15"/>
      <c r="C5" s="5">
        <f ca="1">COUNTIF($J$11:$J$210,"Overdue")</f>
        <v>4</v>
      </c>
      <c r="D5" s="15"/>
      <c r="E5" s="15"/>
      <c r="F5" s="5">
        <f ca="1">COUNTIF($J$11:$J$210,"Due soon")</f>
        <v>3</v>
      </c>
      <c r="G5" s="15"/>
      <c r="H5" s="15"/>
      <c r="I5" s="15"/>
      <c r="J5" s="5">
        <f>COUNTIF($G$11:$G$210,"Complete")</f>
        <v>3</v>
      </c>
      <c r="K5" s="15"/>
    </row>
    <row r="6" spans="1:11" ht="9.9499999999999993" customHeight="1"/>
    <row r="7" spans="1:11" ht="21.95" customHeight="1">
      <c r="A7" s="8" t="s">
        <v>6</v>
      </c>
      <c r="B7" s="16"/>
      <c r="C7" s="16"/>
      <c r="D7" s="16"/>
      <c r="E7" s="16"/>
      <c r="F7" s="16"/>
      <c r="G7" s="16"/>
      <c r="H7" s="16"/>
      <c r="I7" s="16"/>
      <c r="J7" s="16"/>
      <c r="K7" s="16"/>
    </row>
    <row r="8" spans="1:11" ht="66" customHeight="1">
      <c r="A8" s="7" t="s">
        <v>89</v>
      </c>
      <c r="B8" s="14"/>
      <c r="C8" s="14"/>
      <c r="D8" s="14"/>
      <c r="E8" s="14"/>
      <c r="F8" s="14"/>
      <c r="G8" s="14"/>
      <c r="H8" s="14"/>
      <c r="I8" s="14"/>
      <c r="J8" s="14"/>
      <c r="K8" s="14"/>
    </row>
    <row r="9" spans="1:11" ht="12" customHeight="1"/>
    <row r="10" spans="1:11" ht="32.1" customHeight="1">
      <c r="A10" s="1" t="s">
        <v>90</v>
      </c>
      <c r="B10" s="1" t="s">
        <v>8</v>
      </c>
      <c r="C10" s="1" t="s">
        <v>10</v>
      </c>
      <c r="D10" s="1" t="s">
        <v>91</v>
      </c>
      <c r="E10" s="1" t="s">
        <v>92</v>
      </c>
      <c r="F10" s="1" t="s">
        <v>93</v>
      </c>
      <c r="G10" s="1" t="s">
        <v>9</v>
      </c>
      <c r="H10" s="1" t="s">
        <v>94</v>
      </c>
      <c r="I10" s="1" t="s">
        <v>95</v>
      </c>
      <c r="J10" s="1" t="s">
        <v>96</v>
      </c>
      <c r="K10" s="1" t="s">
        <v>97</v>
      </c>
    </row>
    <row r="11" spans="1:11">
      <c r="A11" s="2" t="s">
        <v>98</v>
      </c>
      <c r="B11" s="2" t="s">
        <v>17</v>
      </c>
      <c r="C11" s="2" t="s">
        <v>19</v>
      </c>
      <c r="D11" s="2" t="s">
        <v>99</v>
      </c>
      <c r="E11" s="3">
        <v>46204</v>
      </c>
      <c r="F11" s="3">
        <v>46346</v>
      </c>
      <c r="G11" s="2" t="s">
        <v>85</v>
      </c>
      <c r="H11" s="2">
        <v>65</v>
      </c>
      <c r="I11" s="2">
        <f ca="1">IF(OR(F11="",G11="Complete"),"",MAX(0,TODAY()-F11))</f>
        <v>0</v>
      </c>
      <c r="J11" s="2" t="str">
        <f ca="1">IF(OR(F11="",G11="Complete"),"",IF(F11&lt;TODAY(),"Overdue",IF(F11-TODAY()&lt;=7,"Due soon","On track")))</f>
        <v>On track</v>
      </c>
      <c r="K11" s="2" t="s">
        <v>100</v>
      </c>
    </row>
    <row r="12" spans="1:11">
      <c r="A12" s="2" t="s">
        <v>101</v>
      </c>
      <c r="B12" s="2" t="s">
        <v>17</v>
      </c>
      <c r="C12" s="2" t="s">
        <v>19</v>
      </c>
      <c r="D12" s="2" t="s">
        <v>102</v>
      </c>
      <c r="E12" s="3">
        <v>46280</v>
      </c>
      <c r="F12" s="3">
        <v>46313</v>
      </c>
      <c r="G12" s="2" t="s">
        <v>85</v>
      </c>
      <c r="H12" s="2">
        <v>50</v>
      </c>
      <c r="I12" s="2">
        <f ca="1">IF(OR(F12="",G12="Complete"),"",MAX(0,TODAY()-F12))</f>
        <v>0</v>
      </c>
      <c r="J12" s="2" t="str">
        <f ca="1">IF(OR(F12="",G12="Complete"),"",IF(F12&lt;TODAY(),"Overdue",IF(F12-TODAY()&lt;=7,"Due soon","On track")))</f>
        <v>Due soon</v>
      </c>
      <c r="K12" s="2" t="s">
        <v>103</v>
      </c>
    </row>
    <row r="13" spans="1:11">
      <c r="A13" s="2" t="s">
        <v>104</v>
      </c>
      <c r="B13" s="2" t="s">
        <v>23</v>
      </c>
      <c r="C13" s="2" t="s">
        <v>24</v>
      </c>
      <c r="D13" s="2" t="s">
        <v>105</v>
      </c>
      <c r="E13" s="3">
        <v>46174</v>
      </c>
      <c r="F13" s="3">
        <v>46295</v>
      </c>
      <c r="G13" s="2" t="s">
        <v>88</v>
      </c>
      <c r="H13" s="2">
        <v>100</v>
      </c>
      <c r="I13" s="2" t="str">
        <f ca="1">IF(OR(F13="",G13="Complete"),"",MAX(0,TODAY()-F13))</f>
        <v/>
      </c>
      <c r="J13" s="2" t="str">
        <f ca="1">IF(OR(F13="",G13="Complete"),"",IF(F13&lt;TODAY(),"Overdue",IF(F13-TODAY()&lt;=7,"Due soon","On track")))</f>
        <v/>
      </c>
      <c r="K13" s="2"/>
    </row>
    <row r="14" spans="1:11">
      <c r="A14" s="2" t="s">
        <v>106</v>
      </c>
      <c r="B14" s="2" t="s">
        <v>23</v>
      </c>
      <c r="C14" s="2" t="s">
        <v>24</v>
      </c>
      <c r="D14" s="2" t="s">
        <v>107</v>
      </c>
      <c r="E14" s="3">
        <v>46266</v>
      </c>
      <c r="F14" s="3">
        <v>46305</v>
      </c>
      <c r="G14" s="2" t="s">
        <v>108</v>
      </c>
      <c r="H14" s="2">
        <v>90</v>
      </c>
      <c r="I14" s="2">
        <f ca="1">IF(OR(F14="",G14="Complete"),"",MAX(0,TODAY()-F14))</f>
        <v>3</v>
      </c>
      <c r="J14" s="2" t="str">
        <f ca="1">IF(OR(F14="",G14="Complete"),"",IF(F14&lt;TODAY(),"Overdue",IF(F14-TODAY()&lt;=7,"Due soon","On track")))</f>
        <v>Overdue</v>
      </c>
      <c r="K14" s="2" t="s">
        <v>109</v>
      </c>
    </row>
    <row r="15" spans="1:11">
      <c r="A15" s="2" t="s">
        <v>110</v>
      </c>
      <c r="B15" s="2" t="s">
        <v>28</v>
      </c>
      <c r="C15" s="2" t="s">
        <v>29</v>
      </c>
      <c r="D15" s="2" t="s">
        <v>111</v>
      </c>
      <c r="E15" s="3">
        <v>46235</v>
      </c>
      <c r="F15" s="3">
        <v>46298</v>
      </c>
      <c r="G15" s="2" t="s">
        <v>85</v>
      </c>
      <c r="H15" s="2">
        <v>70</v>
      </c>
      <c r="I15" s="2">
        <f ca="1">IF(OR(F15="",G15="Complete"),"",MAX(0,TODAY()-F15))</f>
        <v>10</v>
      </c>
      <c r="J15" s="2" t="str">
        <f ca="1">IF(OR(F15="",G15="Complete"),"",IF(F15&lt;TODAY(),"Overdue",IF(F15-TODAY()&lt;=7,"Due soon","On track")))</f>
        <v>Overdue</v>
      </c>
      <c r="K15" s="2" t="s">
        <v>112</v>
      </c>
    </row>
    <row r="16" spans="1:11">
      <c r="A16" s="2" t="s">
        <v>113</v>
      </c>
      <c r="B16" s="2" t="s">
        <v>28</v>
      </c>
      <c r="C16" s="2" t="s">
        <v>29</v>
      </c>
      <c r="D16" s="2" t="s">
        <v>114</v>
      </c>
      <c r="E16" s="3">
        <v>46315</v>
      </c>
      <c r="F16" s="3">
        <v>46371</v>
      </c>
      <c r="G16" s="2" t="s">
        <v>115</v>
      </c>
      <c r="H16" s="2">
        <v>0</v>
      </c>
      <c r="I16" s="2">
        <f ca="1">IF(OR(F16="",G16="Complete"),"",MAX(0,TODAY()-F16))</f>
        <v>0</v>
      </c>
      <c r="J16" s="2" t="str">
        <f ca="1">IF(OR(F16="",G16="Complete"),"",IF(F16&lt;TODAY(),"Overdue",IF(F16-TODAY()&lt;=7,"Due soon","On track")))</f>
        <v>On track</v>
      </c>
      <c r="K16" s="2" t="s">
        <v>116</v>
      </c>
    </row>
    <row r="17" spans="1:11">
      <c r="A17" s="2" t="s">
        <v>117</v>
      </c>
      <c r="B17" s="2" t="s">
        <v>33</v>
      </c>
      <c r="C17" s="2" t="s">
        <v>35</v>
      </c>
      <c r="D17" s="2" t="s">
        <v>118</v>
      </c>
      <c r="E17" s="3">
        <v>46296</v>
      </c>
      <c r="F17" s="3">
        <v>46368</v>
      </c>
      <c r="G17" s="2" t="s">
        <v>85</v>
      </c>
      <c r="H17" s="2">
        <v>15</v>
      </c>
      <c r="I17" s="2">
        <f ca="1">IF(OR(F17="",G17="Complete"),"",MAX(0,TODAY()-F17))</f>
        <v>0</v>
      </c>
      <c r="J17" s="2" t="str">
        <f ca="1">IF(OR(F17="",G17="Complete"),"",IF(F17&lt;TODAY(),"Overdue",IF(F17-TODAY()&lt;=7,"Due soon","On track")))</f>
        <v>On track</v>
      </c>
      <c r="K17" s="2" t="s">
        <v>119</v>
      </c>
    </row>
    <row r="18" spans="1:11">
      <c r="A18" s="2" t="s">
        <v>120</v>
      </c>
      <c r="B18" s="2" t="s">
        <v>38</v>
      </c>
      <c r="C18" s="2" t="s">
        <v>19</v>
      </c>
      <c r="D18" s="2" t="s">
        <v>121</v>
      </c>
      <c r="E18" s="3">
        <v>46249</v>
      </c>
      <c r="F18" s="3">
        <v>46312</v>
      </c>
      <c r="G18" s="2" t="s">
        <v>108</v>
      </c>
      <c r="H18" s="2">
        <v>85</v>
      </c>
      <c r="I18" s="2">
        <f ca="1">IF(OR(F18="",G18="Complete"),"",MAX(0,TODAY()-F18))</f>
        <v>0</v>
      </c>
      <c r="J18" s="2" t="str">
        <f ca="1">IF(OR(F18="",G18="Complete"),"",IF(F18&lt;TODAY(),"Overdue",IF(F18-TODAY()&lt;=7,"Due soon","On track")))</f>
        <v>Due soon</v>
      </c>
      <c r="K18" s="2" t="s">
        <v>122</v>
      </c>
    </row>
    <row r="19" spans="1:11">
      <c r="A19" s="2" t="s">
        <v>123</v>
      </c>
      <c r="B19" s="2" t="s">
        <v>41</v>
      </c>
      <c r="C19" s="2" t="s">
        <v>24</v>
      </c>
      <c r="D19" s="2" t="s">
        <v>124</v>
      </c>
      <c r="E19" s="3">
        <v>46218</v>
      </c>
      <c r="F19" s="3">
        <v>46356</v>
      </c>
      <c r="G19" s="2" t="s">
        <v>125</v>
      </c>
      <c r="H19" s="2">
        <v>40</v>
      </c>
      <c r="I19" s="2">
        <f ca="1">IF(OR(F19="",G19="Complete"),"",MAX(0,TODAY()-F19))</f>
        <v>0</v>
      </c>
      <c r="J19" s="2" t="str">
        <f ca="1">IF(OR(F19="",G19="Complete"),"",IF(F19&lt;TODAY(),"Overdue",IF(F19-TODAY()&lt;=7,"Due soon","On track")))</f>
        <v>On track</v>
      </c>
      <c r="K19" s="2" t="s">
        <v>126</v>
      </c>
    </row>
    <row r="20" spans="1:11">
      <c r="A20" s="2" t="s">
        <v>127</v>
      </c>
      <c r="B20" s="2" t="s">
        <v>45</v>
      </c>
      <c r="C20" s="2" t="s">
        <v>29</v>
      </c>
      <c r="D20" s="2" t="s">
        <v>128</v>
      </c>
      <c r="E20" s="3">
        <v>46300</v>
      </c>
      <c r="F20" s="3">
        <v>46416</v>
      </c>
      <c r="G20" s="2" t="s">
        <v>85</v>
      </c>
      <c r="H20" s="2">
        <v>10</v>
      </c>
      <c r="I20" s="2">
        <f ca="1">IF(OR(F20="",G20="Complete"),"",MAX(0,TODAY()-F20))</f>
        <v>0</v>
      </c>
      <c r="J20" s="2" t="str">
        <f ca="1">IF(OR(F20="",G20="Complete"),"",IF(F20&lt;TODAY(),"Overdue",IF(F20-TODAY()&lt;=7,"Due soon","On track")))</f>
        <v>On track</v>
      </c>
      <c r="K20" s="2" t="s">
        <v>129</v>
      </c>
    </row>
    <row r="21" spans="1:11">
      <c r="A21" s="2" t="s">
        <v>130</v>
      </c>
      <c r="B21" s="2" t="s">
        <v>48</v>
      </c>
      <c r="C21" s="2" t="s">
        <v>35</v>
      </c>
      <c r="D21" s="2" t="s">
        <v>131</v>
      </c>
      <c r="E21" s="3">
        <v>46235</v>
      </c>
      <c r="F21" s="3">
        <v>46291</v>
      </c>
      <c r="G21" s="2" t="s">
        <v>88</v>
      </c>
      <c r="H21" s="2">
        <v>100</v>
      </c>
      <c r="I21" s="2" t="str">
        <f ca="1">IF(OR(F21="",G21="Complete"),"",MAX(0,TODAY()-F21))</f>
        <v/>
      </c>
      <c r="J21" s="2" t="str">
        <f ca="1">IF(OR(F21="",G21="Complete"),"",IF(F21&lt;TODAY(),"Overdue",IF(F21-TODAY()&lt;=7,"Due soon","On track")))</f>
        <v/>
      </c>
      <c r="K21" s="2"/>
    </row>
    <row r="22" spans="1:11">
      <c r="A22" s="2" t="s">
        <v>132</v>
      </c>
      <c r="B22" s="2" t="s">
        <v>48</v>
      </c>
      <c r="C22" s="2" t="s">
        <v>35</v>
      </c>
      <c r="D22" s="2" t="s">
        <v>133</v>
      </c>
      <c r="E22" s="3">
        <v>46300</v>
      </c>
      <c r="F22" s="3">
        <v>46323</v>
      </c>
      <c r="G22" s="2" t="s">
        <v>85</v>
      </c>
      <c r="H22" s="2">
        <v>30</v>
      </c>
      <c r="I22" s="2">
        <f ca="1">IF(OR(F22="",G22="Complete"),"",MAX(0,TODAY()-F22))</f>
        <v>0</v>
      </c>
      <c r="J22" s="2" t="str">
        <f ca="1">IF(OR(F22="",G22="Complete"),"",IF(F22&lt;TODAY(),"Overdue",IF(F22-TODAY()&lt;=7,"Due soon","On track")))</f>
        <v>On track</v>
      </c>
      <c r="K22" s="2" t="s">
        <v>134</v>
      </c>
    </row>
    <row r="23" spans="1:11">
      <c r="A23" s="2" t="s">
        <v>135</v>
      </c>
      <c r="B23" s="2" t="s">
        <v>52</v>
      </c>
      <c r="C23" s="2" t="s">
        <v>24</v>
      </c>
      <c r="D23" s="2" t="s">
        <v>136</v>
      </c>
      <c r="E23" s="3">
        <v>46244</v>
      </c>
      <c r="F23" s="3">
        <v>46325</v>
      </c>
      <c r="G23" s="2" t="s">
        <v>85</v>
      </c>
      <c r="H23" s="2">
        <v>75</v>
      </c>
      <c r="I23" s="2">
        <f ca="1">IF(OR(F23="",G23="Complete"),"",MAX(0,TODAY()-F23))</f>
        <v>0</v>
      </c>
      <c r="J23" s="2" t="str">
        <f ca="1">IF(OR(F23="",G23="Complete"),"",IF(F23&lt;TODAY(),"Overdue",IF(F23-TODAY()&lt;=7,"Due soon","On track")))</f>
        <v>On track</v>
      </c>
      <c r="K23" s="2" t="s">
        <v>137</v>
      </c>
    </row>
    <row r="24" spans="1:11">
      <c r="A24" s="2" t="s">
        <v>138</v>
      </c>
      <c r="B24" s="2" t="s">
        <v>55</v>
      </c>
      <c r="C24" s="2" t="s">
        <v>35</v>
      </c>
      <c r="D24" s="2" t="s">
        <v>139</v>
      </c>
      <c r="E24" s="3">
        <v>46254</v>
      </c>
      <c r="F24" s="3">
        <v>46306</v>
      </c>
      <c r="G24" s="2" t="s">
        <v>85</v>
      </c>
      <c r="H24" s="2">
        <v>80</v>
      </c>
      <c r="I24" s="2">
        <f ca="1">IF(OR(F24="",G24="Complete"),"",MAX(0,TODAY()-F24))</f>
        <v>2</v>
      </c>
      <c r="J24" s="2" t="str">
        <f ca="1">IF(OR(F24="",G24="Complete"),"",IF(F24&lt;TODAY(),"Overdue",IF(F24-TODAY()&lt;=7,"Due soon","On track")))</f>
        <v>Overdue</v>
      </c>
      <c r="K24" s="2" t="s">
        <v>140</v>
      </c>
    </row>
    <row r="25" spans="1:11">
      <c r="A25" s="2" t="s">
        <v>141</v>
      </c>
      <c r="B25" s="2" t="s">
        <v>58</v>
      </c>
      <c r="C25" s="2" t="s">
        <v>19</v>
      </c>
      <c r="D25" s="2" t="s">
        <v>142</v>
      </c>
      <c r="E25" s="3">
        <v>46296</v>
      </c>
      <c r="F25" s="3">
        <v>46361</v>
      </c>
      <c r="G25" s="2" t="s">
        <v>85</v>
      </c>
      <c r="H25" s="2">
        <v>20</v>
      </c>
      <c r="I25" s="2">
        <f ca="1">IF(OR(F25="",G25="Complete"),"",MAX(0,TODAY()-F25))</f>
        <v>0</v>
      </c>
      <c r="J25" s="2" t="str">
        <f ca="1">IF(OR(F25="",G25="Complete"),"",IF(F25&lt;TODAY(),"Overdue",IF(F25-TODAY()&lt;=7,"Due soon","On track")))</f>
        <v>On track</v>
      </c>
      <c r="K25" s="2" t="s">
        <v>143</v>
      </c>
    </row>
    <row r="26" spans="1:11">
      <c r="A26" s="2" t="s">
        <v>144</v>
      </c>
      <c r="B26" s="2" t="s">
        <v>61</v>
      </c>
      <c r="C26" s="2" t="s">
        <v>29</v>
      </c>
      <c r="D26" s="2" t="s">
        <v>145</v>
      </c>
      <c r="E26" s="3">
        <v>46314</v>
      </c>
      <c r="F26" s="3">
        <v>46409</v>
      </c>
      <c r="G26" s="2" t="s">
        <v>115</v>
      </c>
      <c r="H26" s="2">
        <v>0</v>
      </c>
      <c r="I26" s="2">
        <f ca="1">IF(OR(F26="",G26="Complete"),"",MAX(0,TODAY()-F26))</f>
        <v>0</v>
      </c>
      <c r="J26" s="2" t="str">
        <f ca="1">IF(OR(F26="",G26="Complete"),"",IF(F26&lt;TODAY(),"Overdue",IF(F26-TODAY()&lt;=7,"Due soon","On track")))</f>
        <v>On track</v>
      </c>
      <c r="K26" s="2" t="s">
        <v>146</v>
      </c>
    </row>
    <row r="27" spans="1:11">
      <c r="A27" s="2" t="s">
        <v>147</v>
      </c>
      <c r="B27" s="2" t="s">
        <v>64</v>
      </c>
      <c r="C27" s="2" t="s">
        <v>24</v>
      </c>
      <c r="D27" s="2" t="s">
        <v>148</v>
      </c>
      <c r="E27" s="3">
        <v>46249</v>
      </c>
      <c r="F27" s="3">
        <v>46295</v>
      </c>
      <c r="G27" s="2" t="s">
        <v>108</v>
      </c>
      <c r="H27" s="2">
        <v>85</v>
      </c>
      <c r="I27" s="2">
        <f ca="1">IF(OR(F27="",G27="Complete"),"",MAX(0,TODAY()-F27))</f>
        <v>13</v>
      </c>
      <c r="J27" s="2" t="str">
        <f ca="1">IF(OR(F27="",G27="Complete"),"",IF(F27&lt;TODAY(),"Overdue",IF(F27-TODAY()&lt;=7,"Due soon","On track")))</f>
        <v>Overdue</v>
      </c>
      <c r="K27" s="2" t="s">
        <v>149</v>
      </c>
    </row>
    <row r="28" spans="1:11">
      <c r="A28" s="2" t="s">
        <v>150</v>
      </c>
      <c r="B28" s="2" t="s">
        <v>67</v>
      </c>
      <c r="C28" s="2" t="s">
        <v>35</v>
      </c>
      <c r="D28" s="2" t="s">
        <v>151</v>
      </c>
      <c r="E28" s="3">
        <v>46293</v>
      </c>
      <c r="F28" s="3">
        <v>46353</v>
      </c>
      <c r="G28" s="2" t="s">
        <v>85</v>
      </c>
      <c r="H28" s="2">
        <v>35</v>
      </c>
      <c r="I28" s="2">
        <f ca="1">IF(OR(F28="",G28="Complete"),"",MAX(0,TODAY()-F28))</f>
        <v>0</v>
      </c>
      <c r="J28" s="2" t="str">
        <f ca="1">IF(OR(F28="",G28="Complete"),"",IF(F28&lt;TODAY(),"Overdue",IF(F28-TODAY()&lt;=7,"Due soon","On track")))</f>
        <v>On track</v>
      </c>
      <c r="K28" s="2" t="s">
        <v>152</v>
      </c>
    </row>
    <row r="29" spans="1:11">
      <c r="A29" s="2" t="s">
        <v>153</v>
      </c>
      <c r="B29" s="2" t="s">
        <v>70</v>
      </c>
      <c r="C29" s="2" t="s">
        <v>19</v>
      </c>
      <c r="D29" s="2" t="s">
        <v>154</v>
      </c>
      <c r="E29" s="3">
        <v>46223</v>
      </c>
      <c r="F29" s="3">
        <v>46341</v>
      </c>
      <c r="G29" s="2" t="s">
        <v>125</v>
      </c>
      <c r="H29" s="2">
        <v>45</v>
      </c>
      <c r="I29" s="2">
        <f ca="1">IF(OR(F29="",G29="Complete"),"",MAX(0,TODAY()-F29))</f>
        <v>0</v>
      </c>
      <c r="J29" s="2" t="str">
        <f ca="1">IF(OR(F29="",G29="Complete"),"",IF(F29&lt;TODAY(),"Overdue",IF(F29-TODAY()&lt;=7,"Due soon","On track")))</f>
        <v>On track</v>
      </c>
      <c r="K29" s="2" t="s">
        <v>155</v>
      </c>
    </row>
    <row r="30" spans="1:11">
      <c r="A30" s="2" t="s">
        <v>156</v>
      </c>
      <c r="B30" s="2" t="s">
        <v>73</v>
      </c>
      <c r="C30" s="2" t="s">
        <v>29</v>
      </c>
      <c r="D30" s="2" t="s">
        <v>157</v>
      </c>
      <c r="E30" s="3">
        <v>46259</v>
      </c>
      <c r="F30" s="3">
        <v>46314</v>
      </c>
      <c r="G30" s="2" t="s">
        <v>108</v>
      </c>
      <c r="H30" s="2">
        <v>90</v>
      </c>
      <c r="I30" s="2">
        <f ca="1">IF(OR(F30="",G30="Complete"),"",MAX(0,TODAY()-F30))</f>
        <v>0</v>
      </c>
      <c r="J30" s="2" t="str">
        <f ca="1">IF(OR(F30="",G30="Complete"),"",IF(F30&lt;TODAY(),"Overdue",IF(F30-TODAY()&lt;=7,"Due soon","On track")))</f>
        <v>Due soon</v>
      </c>
      <c r="K30" s="2" t="s">
        <v>158</v>
      </c>
    </row>
    <row r="31" spans="1:11">
      <c r="A31" s="2" t="s">
        <v>159</v>
      </c>
      <c r="B31" s="2" t="s">
        <v>76</v>
      </c>
      <c r="C31" s="2" t="s">
        <v>24</v>
      </c>
      <c r="D31" s="2" t="s">
        <v>160</v>
      </c>
      <c r="E31" s="3">
        <v>46303</v>
      </c>
      <c r="F31" s="3">
        <v>46374</v>
      </c>
      <c r="G31" s="2" t="s">
        <v>85</v>
      </c>
      <c r="H31" s="2">
        <v>5</v>
      </c>
      <c r="I31" s="2">
        <f ca="1">IF(OR(F31="",G31="Complete"),"",MAX(0,TODAY()-F31))</f>
        <v>0</v>
      </c>
      <c r="J31" s="2" t="str">
        <f ca="1">IF(OR(F31="",G31="Complete"),"",IF(F31&lt;TODAY(),"Overdue",IF(F31-TODAY()&lt;=7,"Due soon","On track")))</f>
        <v>On track</v>
      </c>
      <c r="K31" s="2" t="s">
        <v>161</v>
      </c>
    </row>
    <row r="32" spans="1:11">
      <c r="A32" s="2" t="s">
        <v>162</v>
      </c>
      <c r="B32" s="2" t="s">
        <v>79</v>
      </c>
      <c r="C32" s="2" t="s">
        <v>35</v>
      </c>
      <c r="D32" s="2" t="s">
        <v>163</v>
      </c>
      <c r="E32" s="3">
        <v>46174</v>
      </c>
      <c r="F32" s="3">
        <v>46263</v>
      </c>
      <c r="G32" s="2" t="s">
        <v>88</v>
      </c>
      <c r="H32" s="2">
        <v>100</v>
      </c>
      <c r="I32" s="2" t="str">
        <f ca="1">IF(OR(F32="",G32="Complete"),"",MAX(0,TODAY()-F32))</f>
        <v/>
      </c>
      <c r="J32" s="2" t="str">
        <f ca="1">IF(OR(F32="",G32="Complete"),"",IF(F32&lt;TODAY(),"Overdue",IF(F32-TODAY()&lt;=7,"Due soon","On track")))</f>
        <v/>
      </c>
      <c r="K32" s="2"/>
    </row>
    <row r="33" spans="1:11">
      <c r="A33" s="2"/>
      <c r="B33" s="2"/>
      <c r="C33" s="2"/>
      <c r="D33" s="2"/>
      <c r="E33" s="3"/>
      <c r="F33" s="3"/>
      <c r="G33" s="2"/>
      <c r="H33" s="2"/>
      <c r="I33" s="2" t="str">
        <f ca="1">IF(OR(F33="",G33="Complete"),"",MAX(0,TODAY()-F33))</f>
        <v/>
      </c>
      <c r="J33" s="2" t="str">
        <f ca="1">IF(OR(F33="",G33="Complete"),"",IF(F33&lt;TODAY(),"Overdue",IF(F33-TODAY()&lt;=7,"Due soon","On track")))</f>
        <v/>
      </c>
      <c r="K33" s="2"/>
    </row>
    <row r="34" spans="1:11">
      <c r="A34" s="2"/>
      <c r="B34" s="2"/>
      <c r="C34" s="2"/>
      <c r="D34" s="2"/>
      <c r="E34" s="3"/>
      <c r="F34" s="3"/>
      <c r="G34" s="2"/>
      <c r="H34" s="2"/>
      <c r="I34" s="2" t="str">
        <f ca="1">IF(OR(F34="",G34="Complete"),"",MAX(0,TODAY()-F34))</f>
        <v/>
      </c>
      <c r="J34" s="2" t="str">
        <f ca="1">IF(OR(F34="",G34="Complete"),"",IF(F34&lt;TODAY(),"Overdue",IF(F34-TODAY()&lt;=7,"Due soon","On track")))</f>
        <v/>
      </c>
      <c r="K34" s="2"/>
    </row>
    <row r="35" spans="1:11">
      <c r="A35" s="2"/>
      <c r="B35" s="2"/>
      <c r="C35" s="2"/>
      <c r="D35" s="2"/>
      <c r="E35" s="3"/>
      <c r="F35" s="3"/>
      <c r="G35" s="2"/>
      <c r="H35" s="2"/>
      <c r="I35" s="2" t="str">
        <f ca="1">IF(OR(F35="",G35="Complete"),"",MAX(0,TODAY()-F35))</f>
        <v/>
      </c>
      <c r="J35" s="2" t="str">
        <f ca="1">IF(OR(F35="",G35="Complete"),"",IF(F35&lt;TODAY(),"Overdue",IF(F35-TODAY()&lt;=7,"Due soon","On track")))</f>
        <v/>
      </c>
      <c r="K35" s="2"/>
    </row>
    <row r="36" spans="1:11">
      <c r="A36" s="2"/>
      <c r="B36" s="2"/>
      <c r="C36" s="2"/>
      <c r="D36" s="2"/>
      <c r="E36" s="3"/>
      <c r="F36" s="3"/>
      <c r="G36" s="2"/>
      <c r="H36" s="2"/>
      <c r="I36" s="2" t="str">
        <f ca="1">IF(OR(F36="",G36="Complete"),"",MAX(0,TODAY()-F36))</f>
        <v/>
      </c>
      <c r="J36" s="2" t="str">
        <f ca="1">IF(OR(F36="",G36="Complete"),"",IF(F36&lt;TODAY(),"Overdue",IF(F36-TODAY()&lt;=7,"Due soon","On track")))</f>
        <v/>
      </c>
      <c r="K36" s="2"/>
    </row>
    <row r="37" spans="1:11">
      <c r="A37" s="2"/>
      <c r="B37" s="2"/>
      <c r="C37" s="2"/>
      <c r="D37" s="2"/>
      <c r="E37" s="3"/>
      <c r="F37" s="3"/>
      <c r="G37" s="2"/>
      <c r="H37" s="2"/>
      <c r="I37" s="2" t="str">
        <f ca="1">IF(OR(F37="",G37="Complete"),"",MAX(0,TODAY()-F37))</f>
        <v/>
      </c>
      <c r="J37" s="2" t="str">
        <f ca="1">IF(OR(F37="",G37="Complete"),"",IF(F37&lt;TODAY(),"Overdue",IF(F37-TODAY()&lt;=7,"Due soon","On track")))</f>
        <v/>
      </c>
      <c r="K37" s="2"/>
    </row>
    <row r="38" spans="1:11">
      <c r="A38" s="2"/>
      <c r="B38" s="2"/>
      <c r="C38" s="2"/>
      <c r="D38" s="2"/>
      <c r="E38" s="3"/>
      <c r="F38" s="3"/>
      <c r="G38" s="2"/>
      <c r="H38" s="2"/>
      <c r="I38" s="2" t="str">
        <f ca="1">IF(OR(F38="",G38="Complete"),"",MAX(0,TODAY()-F38))</f>
        <v/>
      </c>
      <c r="J38" s="2" t="str">
        <f ca="1">IF(OR(F38="",G38="Complete"),"",IF(F38&lt;TODAY(),"Overdue",IF(F38-TODAY()&lt;=7,"Due soon","On track")))</f>
        <v/>
      </c>
      <c r="K38" s="2"/>
    </row>
    <row r="39" spans="1:11">
      <c r="A39" s="2"/>
      <c r="B39" s="2"/>
      <c r="C39" s="2"/>
      <c r="D39" s="2"/>
      <c r="E39" s="3"/>
      <c r="F39" s="3"/>
      <c r="G39" s="2"/>
      <c r="H39" s="2"/>
      <c r="I39" s="2" t="str">
        <f ca="1">IF(OR(F39="",G39="Complete"),"",MAX(0,TODAY()-F39))</f>
        <v/>
      </c>
      <c r="J39" s="2" t="str">
        <f ca="1">IF(OR(F39="",G39="Complete"),"",IF(F39&lt;TODAY(),"Overdue",IF(F39-TODAY()&lt;=7,"Due soon","On track")))</f>
        <v/>
      </c>
      <c r="K39" s="2"/>
    </row>
    <row r="40" spans="1:11">
      <c r="A40" s="2"/>
      <c r="B40" s="2"/>
      <c r="C40" s="2"/>
      <c r="D40" s="2"/>
      <c r="E40" s="3"/>
      <c r="F40" s="3"/>
      <c r="G40" s="2"/>
      <c r="H40" s="2"/>
      <c r="I40" s="2" t="str">
        <f ca="1">IF(OR(F40="",G40="Complete"),"",MAX(0,TODAY()-F40))</f>
        <v/>
      </c>
      <c r="J40" s="2" t="str">
        <f ca="1">IF(OR(F40="",G40="Complete"),"",IF(F40&lt;TODAY(),"Overdue",IF(F40-TODAY()&lt;=7,"Due soon","On track")))</f>
        <v/>
      </c>
      <c r="K40" s="2"/>
    </row>
    <row r="41" spans="1:11">
      <c r="A41" s="2"/>
      <c r="B41" s="2"/>
      <c r="C41" s="2"/>
      <c r="D41" s="2"/>
      <c r="E41" s="3"/>
      <c r="F41" s="3"/>
      <c r="G41" s="2"/>
      <c r="H41" s="2"/>
      <c r="I41" s="2" t="str">
        <f ca="1">IF(OR(F41="",G41="Complete"),"",MAX(0,TODAY()-F41))</f>
        <v/>
      </c>
      <c r="J41" s="2" t="str">
        <f ca="1">IF(OR(F41="",G41="Complete"),"",IF(F41&lt;TODAY(),"Overdue",IF(F41-TODAY()&lt;=7,"Due soon","On track")))</f>
        <v/>
      </c>
      <c r="K41" s="2"/>
    </row>
    <row r="42" spans="1:11">
      <c r="A42" s="2"/>
      <c r="B42" s="2"/>
      <c r="C42" s="2"/>
      <c r="D42" s="2"/>
      <c r="E42" s="3"/>
      <c r="F42" s="3"/>
      <c r="G42" s="2"/>
      <c r="H42" s="2"/>
      <c r="I42" s="2" t="str">
        <f ca="1">IF(OR(F42="",G42="Complete"),"",MAX(0,TODAY()-F42))</f>
        <v/>
      </c>
      <c r="J42" s="2" t="str">
        <f ca="1">IF(OR(F42="",G42="Complete"),"",IF(F42&lt;TODAY(),"Overdue",IF(F42-TODAY()&lt;=7,"Due soon","On track")))</f>
        <v/>
      </c>
      <c r="K42" s="2"/>
    </row>
    <row r="43" spans="1:11">
      <c r="A43" s="2"/>
      <c r="B43" s="2"/>
      <c r="C43" s="2"/>
      <c r="D43" s="2"/>
      <c r="E43" s="3"/>
      <c r="F43" s="3"/>
      <c r="G43" s="2"/>
      <c r="H43" s="2"/>
      <c r="I43" s="2" t="str">
        <f ca="1">IF(OR(F43="",G43="Complete"),"",MAX(0,TODAY()-F43))</f>
        <v/>
      </c>
      <c r="J43" s="2" t="str">
        <f ca="1">IF(OR(F43="",G43="Complete"),"",IF(F43&lt;TODAY(),"Overdue",IF(F43-TODAY()&lt;=7,"Due soon","On track")))</f>
        <v/>
      </c>
      <c r="K43" s="2"/>
    </row>
    <row r="44" spans="1:11">
      <c r="A44" s="2"/>
      <c r="B44" s="2"/>
      <c r="C44" s="2"/>
      <c r="D44" s="2"/>
      <c r="E44" s="3"/>
      <c r="F44" s="3"/>
      <c r="G44" s="2"/>
      <c r="H44" s="2"/>
      <c r="I44" s="2" t="str">
        <f ca="1">IF(OR(F44="",G44="Complete"),"",MAX(0,TODAY()-F44))</f>
        <v/>
      </c>
      <c r="J44" s="2" t="str">
        <f ca="1">IF(OR(F44="",G44="Complete"),"",IF(F44&lt;TODAY(),"Overdue",IF(F44-TODAY()&lt;=7,"Due soon","On track")))</f>
        <v/>
      </c>
      <c r="K44" s="2"/>
    </row>
    <row r="45" spans="1:11">
      <c r="A45" s="2"/>
      <c r="B45" s="2"/>
      <c r="C45" s="2"/>
      <c r="D45" s="2"/>
      <c r="E45" s="3"/>
      <c r="F45" s="3"/>
      <c r="G45" s="2"/>
      <c r="H45" s="2"/>
      <c r="I45" s="2" t="str">
        <f ca="1">IF(OR(F45="",G45="Complete"),"",MAX(0,TODAY()-F45))</f>
        <v/>
      </c>
      <c r="J45" s="2" t="str">
        <f ca="1">IF(OR(F45="",G45="Complete"),"",IF(F45&lt;TODAY(),"Overdue",IF(F45-TODAY()&lt;=7,"Due soon","On track")))</f>
        <v/>
      </c>
      <c r="K45" s="2"/>
    </row>
    <row r="46" spans="1:11">
      <c r="A46" s="2"/>
      <c r="B46" s="2"/>
      <c r="C46" s="2"/>
      <c r="D46" s="2"/>
      <c r="E46" s="3"/>
      <c r="F46" s="3"/>
      <c r="G46" s="2"/>
      <c r="H46" s="2"/>
      <c r="I46" s="2" t="str">
        <f ca="1">IF(OR(F46="",G46="Complete"),"",MAX(0,TODAY()-F46))</f>
        <v/>
      </c>
      <c r="J46" s="2" t="str">
        <f ca="1">IF(OR(F46="",G46="Complete"),"",IF(F46&lt;TODAY(),"Overdue",IF(F46-TODAY()&lt;=7,"Due soon","On track")))</f>
        <v/>
      </c>
      <c r="K46" s="2"/>
    </row>
    <row r="47" spans="1:11">
      <c r="A47" s="2"/>
      <c r="B47" s="2"/>
      <c r="C47" s="2"/>
      <c r="D47" s="2"/>
      <c r="E47" s="3"/>
      <c r="F47" s="3"/>
      <c r="G47" s="2"/>
      <c r="H47" s="2"/>
      <c r="I47" s="2" t="str">
        <f ca="1">IF(OR(F47="",G47="Complete"),"",MAX(0,TODAY()-F47))</f>
        <v/>
      </c>
      <c r="J47" s="2" t="str">
        <f ca="1">IF(OR(F47="",G47="Complete"),"",IF(F47&lt;TODAY(),"Overdue",IF(F47-TODAY()&lt;=7,"Due soon","On track")))</f>
        <v/>
      </c>
      <c r="K47" s="2"/>
    </row>
    <row r="48" spans="1:11">
      <c r="A48" s="2"/>
      <c r="B48" s="2"/>
      <c r="C48" s="2"/>
      <c r="D48" s="2"/>
      <c r="E48" s="3"/>
      <c r="F48" s="3"/>
      <c r="G48" s="2"/>
      <c r="H48" s="2"/>
      <c r="I48" s="2" t="str">
        <f ca="1">IF(OR(F48="",G48="Complete"),"",MAX(0,TODAY()-F48))</f>
        <v/>
      </c>
      <c r="J48" s="2" t="str">
        <f ca="1">IF(OR(F48="",G48="Complete"),"",IF(F48&lt;TODAY(),"Overdue",IF(F48-TODAY()&lt;=7,"Due soon","On track")))</f>
        <v/>
      </c>
      <c r="K48" s="2"/>
    </row>
    <row r="49" spans="1:11">
      <c r="A49" s="2"/>
      <c r="B49" s="2"/>
      <c r="C49" s="2"/>
      <c r="D49" s="2"/>
      <c r="E49" s="3"/>
      <c r="F49" s="3"/>
      <c r="G49" s="2"/>
      <c r="H49" s="2"/>
      <c r="I49" s="2" t="str">
        <f ca="1">IF(OR(F49="",G49="Complete"),"",MAX(0,TODAY()-F49))</f>
        <v/>
      </c>
      <c r="J49" s="2" t="str">
        <f ca="1">IF(OR(F49="",G49="Complete"),"",IF(F49&lt;TODAY(),"Overdue",IF(F49-TODAY()&lt;=7,"Due soon","On track")))</f>
        <v/>
      </c>
      <c r="K49" s="2"/>
    </row>
    <row r="50" spans="1:11">
      <c r="A50" s="2"/>
      <c r="B50" s="2"/>
      <c r="C50" s="2"/>
      <c r="D50" s="2"/>
      <c r="E50" s="3"/>
      <c r="F50" s="3"/>
      <c r="G50" s="2"/>
      <c r="H50" s="2"/>
      <c r="I50" s="2" t="str">
        <f ca="1">IF(OR(F50="",G50="Complete"),"",MAX(0,TODAY()-F50))</f>
        <v/>
      </c>
      <c r="J50" s="2" t="str">
        <f ca="1">IF(OR(F50="",G50="Complete"),"",IF(F50&lt;TODAY(),"Overdue",IF(F50-TODAY()&lt;=7,"Due soon","On track")))</f>
        <v/>
      </c>
      <c r="K50" s="2"/>
    </row>
    <row r="51" spans="1:11">
      <c r="A51" s="2"/>
      <c r="B51" s="2"/>
      <c r="C51" s="2"/>
      <c r="D51" s="2"/>
      <c r="E51" s="3"/>
      <c r="F51" s="3"/>
      <c r="G51" s="2"/>
      <c r="H51" s="2"/>
      <c r="I51" s="2" t="str">
        <f ca="1">IF(OR(F51="",G51="Complete"),"",MAX(0,TODAY()-F51))</f>
        <v/>
      </c>
      <c r="J51" s="2" t="str">
        <f ca="1">IF(OR(F51="",G51="Complete"),"",IF(F51&lt;TODAY(),"Overdue",IF(F51-TODAY()&lt;=7,"Due soon","On track")))</f>
        <v/>
      </c>
      <c r="K51" s="2"/>
    </row>
    <row r="52" spans="1:11">
      <c r="A52" s="2"/>
      <c r="B52" s="2"/>
      <c r="C52" s="2"/>
      <c r="D52" s="2"/>
      <c r="E52" s="3"/>
      <c r="F52" s="3"/>
      <c r="G52" s="2"/>
      <c r="H52" s="2"/>
      <c r="I52" s="2" t="str">
        <f ca="1">IF(OR(F52="",G52="Complete"),"",MAX(0,TODAY()-F52))</f>
        <v/>
      </c>
      <c r="J52" s="2" t="str">
        <f ca="1">IF(OR(F52="",G52="Complete"),"",IF(F52&lt;TODAY(),"Overdue",IF(F52-TODAY()&lt;=7,"Due soon","On track")))</f>
        <v/>
      </c>
      <c r="K52" s="2"/>
    </row>
    <row r="53" spans="1:11">
      <c r="A53" s="2"/>
      <c r="B53" s="2"/>
      <c r="C53" s="2"/>
      <c r="D53" s="2"/>
      <c r="E53" s="3"/>
      <c r="F53" s="3"/>
      <c r="G53" s="2"/>
      <c r="H53" s="2"/>
      <c r="I53" s="2" t="str">
        <f ca="1">IF(OR(F53="",G53="Complete"),"",MAX(0,TODAY()-F53))</f>
        <v/>
      </c>
      <c r="J53" s="2" t="str">
        <f ca="1">IF(OR(F53="",G53="Complete"),"",IF(F53&lt;TODAY(),"Overdue",IF(F53-TODAY()&lt;=7,"Due soon","On track")))</f>
        <v/>
      </c>
      <c r="K53" s="2"/>
    </row>
    <row r="54" spans="1:11">
      <c r="A54" s="2"/>
      <c r="B54" s="2"/>
      <c r="C54" s="2"/>
      <c r="D54" s="2"/>
      <c r="E54" s="3"/>
      <c r="F54" s="3"/>
      <c r="G54" s="2"/>
      <c r="H54" s="2"/>
      <c r="I54" s="2" t="str">
        <f ca="1">IF(OR(F54="",G54="Complete"),"",MAX(0,TODAY()-F54))</f>
        <v/>
      </c>
      <c r="J54" s="2" t="str">
        <f ca="1">IF(OR(F54="",G54="Complete"),"",IF(F54&lt;TODAY(),"Overdue",IF(F54-TODAY()&lt;=7,"Due soon","On track")))</f>
        <v/>
      </c>
      <c r="K54" s="2"/>
    </row>
    <row r="55" spans="1:11">
      <c r="A55" s="2"/>
      <c r="B55" s="2"/>
      <c r="C55" s="2"/>
      <c r="D55" s="2"/>
      <c r="E55" s="3"/>
      <c r="F55" s="3"/>
      <c r="G55" s="2"/>
      <c r="H55" s="2"/>
      <c r="I55" s="2" t="str">
        <f ca="1">IF(OR(F55="",G55="Complete"),"",MAX(0,TODAY()-F55))</f>
        <v/>
      </c>
      <c r="J55" s="2" t="str">
        <f ca="1">IF(OR(F55="",G55="Complete"),"",IF(F55&lt;TODAY(),"Overdue",IF(F55-TODAY()&lt;=7,"Due soon","On track")))</f>
        <v/>
      </c>
      <c r="K55" s="2"/>
    </row>
    <row r="56" spans="1:11">
      <c r="A56" s="2"/>
      <c r="B56" s="2"/>
      <c r="C56" s="2"/>
      <c r="D56" s="2"/>
      <c r="E56" s="3"/>
      <c r="F56" s="3"/>
      <c r="G56" s="2"/>
      <c r="H56" s="2"/>
      <c r="I56" s="2" t="str">
        <f ca="1">IF(OR(F56="",G56="Complete"),"",MAX(0,TODAY()-F56))</f>
        <v/>
      </c>
      <c r="J56" s="2" t="str">
        <f ca="1">IF(OR(F56="",G56="Complete"),"",IF(F56&lt;TODAY(),"Overdue",IF(F56-TODAY()&lt;=7,"Due soon","On track")))</f>
        <v/>
      </c>
      <c r="K56" s="2"/>
    </row>
    <row r="57" spans="1:11">
      <c r="A57" s="2"/>
      <c r="B57" s="2"/>
      <c r="C57" s="2"/>
      <c r="D57" s="2"/>
      <c r="E57" s="3"/>
      <c r="F57" s="3"/>
      <c r="G57" s="2"/>
      <c r="H57" s="2"/>
      <c r="I57" s="2" t="str">
        <f ca="1">IF(OR(F57="",G57="Complete"),"",MAX(0,TODAY()-F57))</f>
        <v/>
      </c>
      <c r="J57" s="2" t="str">
        <f ca="1">IF(OR(F57="",G57="Complete"),"",IF(F57&lt;TODAY(),"Overdue",IF(F57-TODAY()&lt;=7,"Due soon","On track")))</f>
        <v/>
      </c>
      <c r="K57" s="2"/>
    </row>
    <row r="58" spans="1:11">
      <c r="A58" s="2"/>
      <c r="B58" s="2"/>
      <c r="C58" s="2"/>
      <c r="D58" s="2"/>
      <c r="E58" s="3"/>
      <c r="F58" s="3"/>
      <c r="G58" s="2"/>
      <c r="H58" s="2"/>
      <c r="I58" s="2" t="str">
        <f ca="1">IF(OR(F58="",G58="Complete"),"",MAX(0,TODAY()-F58))</f>
        <v/>
      </c>
      <c r="J58" s="2" t="str">
        <f ca="1">IF(OR(F58="",G58="Complete"),"",IF(F58&lt;TODAY(),"Overdue",IF(F58-TODAY()&lt;=7,"Due soon","On track")))</f>
        <v/>
      </c>
      <c r="K58" s="2"/>
    </row>
    <row r="59" spans="1:11">
      <c r="A59" s="2"/>
      <c r="B59" s="2"/>
      <c r="C59" s="2"/>
      <c r="D59" s="2"/>
      <c r="E59" s="3"/>
      <c r="F59" s="3"/>
      <c r="G59" s="2"/>
      <c r="H59" s="2"/>
      <c r="I59" s="2" t="str">
        <f ca="1">IF(OR(F59="",G59="Complete"),"",MAX(0,TODAY()-F59))</f>
        <v/>
      </c>
      <c r="J59" s="2" t="str">
        <f ca="1">IF(OR(F59="",G59="Complete"),"",IF(F59&lt;TODAY(),"Overdue",IF(F59-TODAY()&lt;=7,"Due soon","On track")))</f>
        <v/>
      </c>
      <c r="K59" s="2"/>
    </row>
    <row r="60" spans="1:11">
      <c r="A60" s="2"/>
      <c r="B60" s="2"/>
      <c r="C60" s="2"/>
      <c r="D60" s="2"/>
      <c r="E60" s="3"/>
      <c r="F60" s="3"/>
      <c r="G60" s="2"/>
      <c r="H60" s="2"/>
      <c r="I60" s="2" t="str">
        <f ca="1">IF(OR(F60="",G60="Complete"),"",MAX(0,TODAY()-F60))</f>
        <v/>
      </c>
      <c r="J60" s="2" t="str">
        <f ca="1">IF(OR(F60="",G60="Complete"),"",IF(F60&lt;TODAY(),"Overdue",IF(F60-TODAY()&lt;=7,"Due soon","On track")))</f>
        <v/>
      </c>
      <c r="K60" s="2"/>
    </row>
    <row r="61" spans="1:11">
      <c r="A61" s="2"/>
      <c r="B61" s="2"/>
      <c r="C61" s="2"/>
      <c r="D61" s="2"/>
      <c r="E61" s="3"/>
      <c r="F61" s="3"/>
      <c r="G61" s="2"/>
      <c r="H61" s="2"/>
      <c r="I61" s="2" t="str">
        <f ca="1">IF(OR(F61="",G61="Complete"),"",MAX(0,TODAY()-F61))</f>
        <v/>
      </c>
      <c r="J61" s="2" t="str">
        <f ca="1">IF(OR(F61="",G61="Complete"),"",IF(F61&lt;TODAY(),"Overdue",IF(F61-TODAY()&lt;=7,"Due soon","On track")))</f>
        <v/>
      </c>
      <c r="K61" s="2"/>
    </row>
    <row r="62" spans="1:11">
      <c r="A62" s="2"/>
      <c r="B62" s="2"/>
      <c r="C62" s="2"/>
      <c r="D62" s="2"/>
      <c r="E62" s="3"/>
      <c r="F62" s="3"/>
      <c r="G62" s="2"/>
      <c r="H62" s="2"/>
      <c r="I62" s="2" t="str">
        <f ca="1">IF(OR(F62="",G62="Complete"),"",MAX(0,TODAY()-F62))</f>
        <v/>
      </c>
      <c r="J62" s="2" t="str">
        <f ca="1">IF(OR(F62="",G62="Complete"),"",IF(F62&lt;TODAY(),"Overdue",IF(F62-TODAY()&lt;=7,"Due soon","On track")))</f>
        <v/>
      </c>
      <c r="K62" s="2"/>
    </row>
    <row r="63" spans="1:11">
      <c r="A63" s="2"/>
      <c r="B63" s="2"/>
      <c r="C63" s="2"/>
      <c r="D63" s="2"/>
      <c r="E63" s="3"/>
      <c r="F63" s="3"/>
      <c r="G63" s="2"/>
      <c r="H63" s="2"/>
      <c r="I63" s="2" t="str">
        <f ca="1">IF(OR(F63="",G63="Complete"),"",MAX(0,TODAY()-F63))</f>
        <v/>
      </c>
      <c r="J63" s="2" t="str">
        <f ca="1">IF(OR(F63="",G63="Complete"),"",IF(F63&lt;TODAY(),"Overdue",IF(F63-TODAY()&lt;=7,"Due soon","On track")))</f>
        <v/>
      </c>
      <c r="K63" s="2"/>
    </row>
    <row r="64" spans="1:11">
      <c r="A64" s="2"/>
      <c r="B64" s="2"/>
      <c r="C64" s="2"/>
      <c r="D64" s="2"/>
      <c r="E64" s="3"/>
      <c r="F64" s="3"/>
      <c r="G64" s="2"/>
      <c r="H64" s="2"/>
      <c r="I64" s="2" t="str">
        <f ca="1">IF(OR(F64="",G64="Complete"),"",MAX(0,TODAY()-F64))</f>
        <v/>
      </c>
      <c r="J64" s="2" t="str">
        <f ca="1">IF(OR(F64="",G64="Complete"),"",IF(F64&lt;TODAY(),"Overdue",IF(F64-TODAY()&lt;=7,"Due soon","On track")))</f>
        <v/>
      </c>
      <c r="K64" s="2"/>
    </row>
    <row r="65" spans="1:11">
      <c r="A65" s="2"/>
      <c r="B65" s="2"/>
      <c r="C65" s="2"/>
      <c r="D65" s="2"/>
      <c r="E65" s="3"/>
      <c r="F65" s="3"/>
      <c r="G65" s="2"/>
      <c r="H65" s="2"/>
      <c r="I65" s="2" t="str">
        <f ca="1">IF(OR(F65="",G65="Complete"),"",MAX(0,TODAY()-F65))</f>
        <v/>
      </c>
      <c r="J65" s="2" t="str">
        <f ca="1">IF(OR(F65="",G65="Complete"),"",IF(F65&lt;TODAY(),"Overdue",IF(F65-TODAY()&lt;=7,"Due soon","On track")))</f>
        <v/>
      </c>
      <c r="K65" s="2"/>
    </row>
    <row r="66" spans="1:11">
      <c r="A66" s="2"/>
      <c r="B66" s="2"/>
      <c r="C66" s="2"/>
      <c r="D66" s="2"/>
      <c r="E66" s="3"/>
      <c r="F66" s="3"/>
      <c r="G66" s="2"/>
      <c r="H66" s="2"/>
      <c r="I66" s="2" t="str">
        <f ca="1">IF(OR(F66="",G66="Complete"),"",MAX(0,TODAY()-F66))</f>
        <v/>
      </c>
      <c r="J66" s="2" t="str">
        <f ca="1">IF(OR(F66="",G66="Complete"),"",IF(F66&lt;TODAY(),"Overdue",IF(F66-TODAY()&lt;=7,"Due soon","On track")))</f>
        <v/>
      </c>
      <c r="K66" s="2"/>
    </row>
    <row r="67" spans="1:11">
      <c r="A67" s="2"/>
      <c r="B67" s="2"/>
      <c r="C67" s="2"/>
      <c r="D67" s="2"/>
      <c r="E67" s="3"/>
      <c r="F67" s="3"/>
      <c r="G67" s="2"/>
      <c r="H67" s="2"/>
      <c r="I67" s="2" t="str">
        <f ca="1">IF(OR(F67="",G67="Complete"),"",MAX(0,TODAY()-F67))</f>
        <v/>
      </c>
      <c r="J67" s="2" t="str">
        <f ca="1">IF(OR(F67="",G67="Complete"),"",IF(F67&lt;TODAY(),"Overdue",IF(F67-TODAY()&lt;=7,"Due soon","On track")))</f>
        <v/>
      </c>
      <c r="K67" s="2"/>
    </row>
    <row r="68" spans="1:11">
      <c r="A68" s="2"/>
      <c r="B68" s="2"/>
      <c r="C68" s="2"/>
      <c r="D68" s="2"/>
      <c r="E68" s="3"/>
      <c r="F68" s="3"/>
      <c r="G68" s="2"/>
      <c r="H68" s="2"/>
      <c r="I68" s="2" t="str">
        <f ca="1">IF(OR(F68="",G68="Complete"),"",MAX(0,TODAY()-F68))</f>
        <v/>
      </c>
      <c r="J68" s="2" t="str">
        <f ca="1">IF(OR(F68="",G68="Complete"),"",IF(F68&lt;TODAY(),"Overdue",IF(F68-TODAY()&lt;=7,"Due soon","On track")))</f>
        <v/>
      </c>
      <c r="K68" s="2"/>
    </row>
    <row r="69" spans="1:11">
      <c r="A69" s="2"/>
      <c r="B69" s="2"/>
      <c r="C69" s="2"/>
      <c r="D69" s="2"/>
      <c r="E69" s="3"/>
      <c r="F69" s="3"/>
      <c r="G69" s="2"/>
      <c r="H69" s="2"/>
      <c r="I69" s="2" t="str">
        <f ca="1">IF(OR(F69="",G69="Complete"),"",MAX(0,TODAY()-F69))</f>
        <v/>
      </c>
      <c r="J69" s="2" t="str">
        <f ca="1">IF(OR(F69="",G69="Complete"),"",IF(F69&lt;TODAY(),"Overdue",IF(F69-TODAY()&lt;=7,"Due soon","On track")))</f>
        <v/>
      </c>
      <c r="K69" s="2"/>
    </row>
    <row r="70" spans="1:11">
      <c r="A70" s="2"/>
      <c r="B70" s="2"/>
      <c r="C70" s="2"/>
      <c r="D70" s="2"/>
      <c r="E70" s="3"/>
      <c r="F70" s="3"/>
      <c r="G70" s="2"/>
      <c r="H70" s="2"/>
      <c r="I70" s="2" t="str">
        <f ca="1">IF(OR(F70="",G70="Complete"),"",MAX(0,TODAY()-F70))</f>
        <v/>
      </c>
      <c r="J70" s="2" t="str">
        <f ca="1">IF(OR(F70="",G70="Complete"),"",IF(F70&lt;TODAY(),"Overdue",IF(F70-TODAY()&lt;=7,"Due soon","On track")))</f>
        <v/>
      </c>
      <c r="K70" s="2"/>
    </row>
    <row r="71" spans="1:11">
      <c r="A71" s="2"/>
      <c r="B71" s="2"/>
      <c r="C71" s="2"/>
      <c r="D71" s="2"/>
      <c r="E71" s="3"/>
      <c r="F71" s="3"/>
      <c r="G71" s="2"/>
      <c r="H71" s="2"/>
      <c r="I71" s="2" t="str">
        <f ca="1">IF(OR(F71="",G71="Complete"),"",MAX(0,TODAY()-F71))</f>
        <v/>
      </c>
      <c r="J71" s="2" t="str">
        <f ca="1">IF(OR(F71="",G71="Complete"),"",IF(F71&lt;TODAY(),"Overdue",IF(F71-TODAY()&lt;=7,"Due soon","On track")))</f>
        <v/>
      </c>
      <c r="K71" s="2"/>
    </row>
    <row r="72" spans="1:11">
      <c r="A72" s="2"/>
      <c r="B72" s="2"/>
      <c r="C72" s="2"/>
      <c r="D72" s="2"/>
      <c r="E72" s="3"/>
      <c r="F72" s="3"/>
      <c r="G72" s="2"/>
      <c r="H72" s="2"/>
      <c r="I72" s="2" t="str">
        <f ca="1">IF(OR(F72="",G72="Complete"),"",MAX(0,TODAY()-F72))</f>
        <v/>
      </c>
      <c r="J72" s="2" t="str">
        <f ca="1">IF(OR(F72="",G72="Complete"),"",IF(F72&lt;TODAY(),"Overdue",IF(F72-TODAY()&lt;=7,"Due soon","On track")))</f>
        <v/>
      </c>
      <c r="K72" s="2"/>
    </row>
    <row r="73" spans="1:11">
      <c r="A73" s="2"/>
      <c r="B73" s="2"/>
      <c r="C73" s="2"/>
      <c r="D73" s="2"/>
      <c r="E73" s="3"/>
      <c r="F73" s="3"/>
      <c r="G73" s="2"/>
      <c r="H73" s="2"/>
      <c r="I73" s="2" t="str">
        <f ca="1">IF(OR(F73="",G73="Complete"),"",MAX(0,TODAY()-F73))</f>
        <v/>
      </c>
      <c r="J73" s="2" t="str">
        <f ca="1">IF(OR(F73="",G73="Complete"),"",IF(F73&lt;TODAY(),"Overdue",IF(F73-TODAY()&lt;=7,"Due soon","On track")))</f>
        <v/>
      </c>
      <c r="K73" s="2"/>
    </row>
    <row r="74" spans="1:11">
      <c r="A74" s="2"/>
      <c r="B74" s="2"/>
      <c r="C74" s="2"/>
      <c r="D74" s="2"/>
      <c r="E74" s="3"/>
      <c r="F74" s="3"/>
      <c r="G74" s="2"/>
      <c r="H74" s="2"/>
      <c r="I74" s="2" t="str">
        <f ca="1">IF(OR(F74="",G74="Complete"),"",MAX(0,TODAY()-F74))</f>
        <v/>
      </c>
      <c r="J74" s="2" t="str">
        <f ca="1">IF(OR(F74="",G74="Complete"),"",IF(F74&lt;TODAY(),"Overdue",IF(F74-TODAY()&lt;=7,"Due soon","On track")))</f>
        <v/>
      </c>
      <c r="K74" s="2"/>
    </row>
    <row r="75" spans="1:11">
      <c r="A75" s="2"/>
      <c r="B75" s="2"/>
      <c r="C75" s="2"/>
      <c r="D75" s="2"/>
      <c r="E75" s="3"/>
      <c r="F75" s="3"/>
      <c r="G75" s="2"/>
      <c r="H75" s="2"/>
      <c r="I75" s="2" t="str">
        <f ca="1">IF(OR(F75="",G75="Complete"),"",MAX(0,TODAY()-F75))</f>
        <v/>
      </c>
      <c r="J75" s="2" t="str">
        <f ca="1">IF(OR(F75="",G75="Complete"),"",IF(F75&lt;TODAY(),"Overdue",IF(F75-TODAY()&lt;=7,"Due soon","On track")))</f>
        <v/>
      </c>
      <c r="K75" s="2"/>
    </row>
    <row r="76" spans="1:11">
      <c r="A76" s="2"/>
      <c r="B76" s="2"/>
      <c r="C76" s="2"/>
      <c r="D76" s="2"/>
      <c r="E76" s="3"/>
      <c r="F76" s="3"/>
      <c r="G76" s="2"/>
      <c r="H76" s="2"/>
      <c r="I76" s="2" t="str">
        <f ca="1">IF(OR(F76="",G76="Complete"),"",MAX(0,TODAY()-F76))</f>
        <v/>
      </c>
      <c r="J76" s="2" t="str">
        <f ca="1">IF(OR(F76="",G76="Complete"),"",IF(F76&lt;TODAY(),"Overdue",IF(F76-TODAY()&lt;=7,"Due soon","On track")))</f>
        <v/>
      </c>
      <c r="K76" s="2"/>
    </row>
    <row r="77" spans="1:11">
      <c r="A77" s="2"/>
      <c r="B77" s="2"/>
      <c r="C77" s="2"/>
      <c r="D77" s="2"/>
      <c r="E77" s="3"/>
      <c r="F77" s="3"/>
      <c r="G77" s="2"/>
      <c r="H77" s="2"/>
      <c r="I77" s="2" t="str">
        <f ca="1">IF(OR(F77="",G77="Complete"),"",MAX(0,TODAY()-F77))</f>
        <v/>
      </c>
      <c r="J77" s="2" t="str">
        <f ca="1">IF(OR(F77="",G77="Complete"),"",IF(F77&lt;TODAY(),"Overdue",IF(F77-TODAY()&lt;=7,"Due soon","On track")))</f>
        <v/>
      </c>
      <c r="K77" s="2"/>
    </row>
    <row r="78" spans="1:11">
      <c r="A78" s="2"/>
      <c r="B78" s="2"/>
      <c r="C78" s="2"/>
      <c r="D78" s="2"/>
      <c r="E78" s="3"/>
      <c r="F78" s="3"/>
      <c r="G78" s="2"/>
      <c r="H78" s="2"/>
      <c r="I78" s="2" t="str">
        <f ca="1">IF(OR(F78="",G78="Complete"),"",MAX(0,TODAY()-F78))</f>
        <v/>
      </c>
      <c r="J78" s="2" t="str">
        <f ca="1">IF(OR(F78="",G78="Complete"),"",IF(F78&lt;TODAY(),"Overdue",IF(F78-TODAY()&lt;=7,"Due soon","On track")))</f>
        <v/>
      </c>
      <c r="K78" s="2"/>
    </row>
    <row r="79" spans="1:11">
      <c r="A79" s="2"/>
      <c r="B79" s="2"/>
      <c r="C79" s="2"/>
      <c r="D79" s="2"/>
      <c r="E79" s="3"/>
      <c r="F79" s="3"/>
      <c r="G79" s="2"/>
      <c r="H79" s="2"/>
      <c r="I79" s="2" t="str">
        <f ca="1">IF(OR(F79="",G79="Complete"),"",MAX(0,TODAY()-F79))</f>
        <v/>
      </c>
      <c r="J79" s="2" t="str">
        <f ca="1">IF(OR(F79="",G79="Complete"),"",IF(F79&lt;TODAY(),"Overdue",IF(F79-TODAY()&lt;=7,"Due soon","On track")))</f>
        <v/>
      </c>
      <c r="K79" s="2"/>
    </row>
    <row r="80" spans="1:11">
      <c r="A80" s="2"/>
      <c r="B80" s="2"/>
      <c r="C80" s="2"/>
      <c r="D80" s="2"/>
      <c r="E80" s="3"/>
      <c r="F80" s="3"/>
      <c r="G80" s="2"/>
      <c r="H80" s="2"/>
      <c r="I80" s="2" t="str">
        <f ca="1">IF(OR(F80="",G80="Complete"),"",MAX(0,TODAY()-F80))</f>
        <v/>
      </c>
      <c r="J80" s="2" t="str">
        <f ca="1">IF(OR(F80="",G80="Complete"),"",IF(F80&lt;TODAY(),"Overdue",IF(F80-TODAY()&lt;=7,"Due soon","On track")))</f>
        <v/>
      </c>
      <c r="K80" s="2"/>
    </row>
    <row r="81" spans="1:11">
      <c r="A81" s="2"/>
      <c r="B81" s="2"/>
      <c r="C81" s="2"/>
      <c r="D81" s="2"/>
      <c r="E81" s="3"/>
      <c r="F81" s="3"/>
      <c r="G81" s="2"/>
      <c r="H81" s="2"/>
      <c r="I81" s="2" t="str">
        <f ca="1">IF(OR(F81="",G81="Complete"),"",MAX(0,TODAY()-F81))</f>
        <v/>
      </c>
      <c r="J81" s="2" t="str">
        <f ca="1">IF(OR(F81="",G81="Complete"),"",IF(F81&lt;TODAY(),"Overdue",IF(F81-TODAY()&lt;=7,"Due soon","On track")))</f>
        <v/>
      </c>
      <c r="K81" s="2"/>
    </row>
    <row r="82" spans="1:11">
      <c r="A82" s="2"/>
      <c r="B82" s="2"/>
      <c r="C82" s="2"/>
      <c r="D82" s="2"/>
      <c r="E82" s="3"/>
      <c r="F82" s="3"/>
      <c r="G82" s="2"/>
      <c r="H82" s="2"/>
      <c r="I82" s="2" t="str">
        <f ca="1">IF(OR(F82="",G82="Complete"),"",MAX(0,TODAY()-F82))</f>
        <v/>
      </c>
      <c r="J82" s="2" t="str">
        <f ca="1">IF(OR(F82="",G82="Complete"),"",IF(F82&lt;TODAY(),"Overdue",IF(F82-TODAY()&lt;=7,"Due soon","On track")))</f>
        <v/>
      </c>
      <c r="K82" s="2"/>
    </row>
    <row r="83" spans="1:11">
      <c r="A83" s="2"/>
      <c r="B83" s="2"/>
      <c r="C83" s="2"/>
      <c r="D83" s="2"/>
      <c r="E83" s="3"/>
      <c r="F83" s="3"/>
      <c r="G83" s="2"/>
      <c r="H83" s="2"/>
      <c r="I83" s="2" t="str">
        <f ca="1">IF(OR(F83="",G83="Complete"),"",MAX(0,TODAY()-F83))</f>
        <v/>
      </c>
      <c r="J83" s="2" t="str">
        <f ca="1">IF(OR(F83="",G83="Complete"),"",IF(F83&lt;TODAY(),"Overdue",IF(F83-TODAY()&lt;=7,"Due soon","On track")))</f>
        <v/>
      </c>
      <c r="K83" s="2"/>
    </row>
    <row r="84" spans="1:11">
      <c r="A84" s="2"/>
      <c r="B84" s="2"/>
      <c r="C84" s="2"/>
      <c r="D84" s="2"/>
      <c r="E84" s="3"/>
      <c r="F84" s="3"/>
      <c r="G84" s="2"/>
      <c r="H84" s="2"/>
      <c r="I84" s="2" t="str">
        <f ca="1">IF(OR(F84="",G84="Complete"),"",MAX(0,TODAY()-F84))</f>
        <v/>
      </c>
      <c r="J84" s="2" t="str">
        <f ca="1">IF(OR(F84="",G84="Complete"),"",IF(F84&lt;TODAY(),"Overdue",IF(F84-TODAY()&lt;=7,"Due soon","On track")))</f>
        <v/>
      </c>
      <c r="K84" s="2"/>
    </row>
    <row r="85" spans="1:11">
      <c r="A85" s="2"/>
      <c r="B85" s="2"/>
      <c r="C85" s="2"/>
      <c r="D85" s="2"/>
      <c r="E85" s="3"/>
      <c r="F85" s="3"/>
      <c r="G85" s="2"/>
      <c r="H85" s="2"/>
      <c r="I85" s="2" t="str">
        <f ca="1">IF(OR(F85="",G85="Complete"),"",MAX(0,TODAY()-F85))</f>
        <v/>
      </c>
      <c r="J85" s="2" t="str">
        <f ca="1">IF(OR(F85="",G85="Complete"),"",IF(F85&lt;TODAY(),"Overdue",IF(F85-TODAY()&lt;=7,"Due soon","On track")))</f>
        <v/>
      </c>
      <c r="K85" s="2"/>
    </row>
    <row r="86" spans="1:11">
      <c r="A86" s="2"/>
      <c r="B86" s="2"/>
      <c r="C86" s="2"/>
      <c r="D86" s="2"/>
      <c r="E86" s="3"/>
      <c r="F86" s="3"/>
      <c r="G86" s="2"/>
      <c r="H86" s="2"/>
      <c r="I86" s="2" t="str">
        <f ca="1">IF(OR(F86="",G86="Complete"),"",MAX(0,TODAY()-F86))</f>
        <v/>
      </c>
      <c r="J86" s="2" t="str">
        <f ca="1">IF(OR(F86="",G86="Complete"),"",IF(F86&lt;TODAY(),"Overdue",IF(F86-TODAY()&lt;=7,"Due soon","On track")))</f>
        <v/>
      </c>
      <c r="K86" s="2"/>
    </row>
    <row r="87" spans="1:11">
      <c r="A87" s="2"/>
      <c r="B87" s="2"/>
      <c r="C87" s="2"/>
      <c r="D87" s="2"/>
      <c r="E87" s="3"/>
      <c r="F87" s="3"/>
      <c r="G87" s="2"/>
      <c r="H87" s="2"/>
      <c r="I87" s="2" t="str">
        <f ca="1">IF(OR(F87="",G87="Complete"),"",MAX(0,TODAY()-F87))</f>
        <v/>
      </c>
      <c r="J87" s="2" t="str">
        <f ca="1">IF(OR(F87="",G87="Complete"),"",IF(F87&lt;TODAY(),"Overdue",IF(F87-TODAY()&lt;=7,"Due soon","On track")))</f>
        <v/>
      </c>
      <c r="K87" s="2"/>
    </row>
    <row r="88" spans="1:11">
      <c r="A88" s="2"/>
      <c r="B88" s="2"/>
      <c r="C88" s="2"/>
      <c r="D88" s="2"/>
      <c r="E88" s="3"/>
      <c r="F88" s="3"/>
      <c r="G88" s="2"/>
      <c r="H88" s="2"/>
      <c r="I88" s="2" t="str">
        <f ca="1">IF(OR(F88="",G88="Complete"),"",MAX(0,TODAY()-F88))</f>
        <v/>
      </c>
      <c r="J88" s="2" t="str">
        <f ca="1">IF(OR(F88="",G88="Complete"),"",IF(F88&lt;TODAY(),"Overdue",IF(F88-TODAY()&lt;=7,"Due soon","On track")))</f>
        <v/>
      </c>
      <c r="K88" s="2"/>
    </row>
    <row r="89" spans="1:11">
      <c r="A89" s="2"/>
      <c r="B89" s="2"/>
      <c r="C89" s="2"/>
      <c r="D89" s="2"/>
      <c r="E89" s="3"/>
      <c r="F89" s="3"/>
      <c r="G89" s="2"/>
      <c r="H89" s="2"/>
      <c r="I89" s="2" t="str">
        <f ca="1">IF(OR(F89="",G89="Complete"),"",MAX(0,TODAY()-F89))</f>
        <v/>
      </c>
      <c r="J89" s="2" t="str">
        <f ca="1">IF(OR(F89="",G89="Complete"),"",IF(F89&lt;TODAY(),"Overdue",IF(F89-TODAY()&lt;=7,"Due soon","On track")))</f>
        <v/>
      </c>
      <c r="K89" s="2"/>
    </row>
    <row r="90" spans="1:11">
      <c r="A90" s="2"/>
      <c r="B90" s="2"/>
      <c r="C90" s="2"/>
      <c r="D90" s="2"/>
      <c r="E90" s="3"/>
      <c r="F90" s="3"/>
      <c r="G90" s="2"/>
      <c r="H90" s="2"/>
      <c r="I90" s="2" t="str">
        <f ca="1">IF(OR(F90="",G90="Complete"),"",MAX(0,TODAY()-F90))</f>
        <v/>
      </c>
      <c r="J90" s="2" t="str">
        <f ca="1">IF(OR(F90="",G90="Complete"),"",IF(F90&lt;TODAY(),"Overdue",IF(F90-TODAY()&lt;=7,"Due soon","On track")))</f>
        <v/>
      </c>
      <c r="K90" s="2"/>
    </row>
    <row r="91" spans="1:11">
      <c r="A91" s="2"/>
      <c r="B91" s="2"/>
      <c r="C91" s="2"/>
      <c r="D91" s="2"/>
      <c r="E91" s="3"/>
      <c r="F91" s="3"/>
      <c r="G91" s="2"/>
      <c r="H91" s="2"/>
      <c r="I91" s="2" t="str">
        <f ca="1">IF(OR(F91="",G91="Complete"),"",MAX(0,TODAY()-F91))</f>
        <v/>
      </c>
      <c r="J91" s="2" t="str">
        <f ca="1">IF(OR(F91="",G91="Complete"),"",IF(F91&lt;TODAY(),"Overdue",IF(F91-TODAY()&lt;=7,"Due soon","On track")))</f>
        <v/>
      </c>
      <c r="K91" s="2"/>
    </row>
    <row r="92" spans="1:11">
      <c r="A92" s="2"/>
      <c r="B92" s="2"/>
      <c r="C92" s="2"/>
      <c r="D92" s="2"/>
      <c r="E92" s="3"/>
      <c r="F92" s="3"/>
      <c r="G92" s="2"/>
      <c r="H92" s="2"/>
      <c r="I92" s="2" t="str">
        <f ca="1">IF(OR(F92="",G92="Complete"),"",MAX(0,TODAY()-F92))</f>
        <v/>
      </c>
      <c r="J92" s="2" t="str">
        <f ca="1">IF(OR(F92="",G92="Complete"),"",IF(F92&lt;TODAY(),"Overdue",IF(F92-TODAY()&lt;=7,"Due soon","On track")))</f>
        <v/>
      </c>
      <c r="K92" s="2"/>
    </row>
    <row r="93" spans="1:11">
      <c r="A93" s="2"/>
      <c r="B93" s="2"/>
      <c r="C93" s="2"/>
      <c r="D93" s="2"/>
      <c r="E93" s="3"/>
      <c r="F93" s="3"/>
      <c r="G93" s="2"/>
      <c r="H93" s="2"/>
      <c r="I93" s="2" t="str">
        <f ca="1">IF(OR(F93="",G93="Complete"),"",MAX(0,TODAY()-F93))</f>
        <v/>
      </c>
      <c r="J93" s="2" t="str">
        <f ca="1">IF(OR(F93="",G93="Complete"),"",IF(F93&lt;TODAY(),"Overdue",IF(F93-TODAY()&lt;=7,"Due soon","On track")))</f>
        <v/>
      </c>
      <c r="K93" s="2"/>
    </row>
    <row r="94" spans="1:11">
      <c r="A94" s="2"/>
      <c r="B94" s="2"/>
      <c r="C94" s="2"/>
      <c r="D94" s="2"/>
      <c r="E94" s="3"/>
      <c r="F94" s="3"/>
      <c r="G94" s="2"/>
      <c r="H94" s="2"/>
      <c r="I94" s="2" t="str">
        <f ca="1">IF(OR(F94="",G94="Complete"),"",MAX(0,TODAY()-F94))</f>
        <v/>
      </c>
      <c r="J94" s="2" t="str">
        <f ca="1">IF(OR(F94="",G94="Complete"),"",IF(F94&lt;TODAY(),"Overdue",IF(F94-TODAY()&lt;=7,"Due soon","On track")))</f>
        <v/>
      </c>
      <c r="K94" s="2"/>
    </row>
    <row r="95" spans="1:11">
      <c r="A95" s="2"/>
      <c r="B95" s="2"/>
      <c r="C95" s="2"/>
      <c r="D95" s="2"/>
      <c r="E95" s="3"/>
      <c r="F95" s="3"/>
      <c r="G95" s="2"/>
      <c r="H95" s="2"/>
      <c r="I95" s="2" t="str">
        <f ca="1">IF(OR(F95="",G95="Complete"),"",MAX(0,TODAY()-F95))</f>
        <v/>
      </c>
      <c r="J95" s="2" t="str">
        <f ca="1">IF(OR(F95="",G95="Complete"),"",IF(F95&lt;TODAY(),"Overdue",IF(F95-TODAY()&lt;=7,"Due soon","On track")))</f>
        <v/>
      </c>
      <c r="K95" s="2"/>
    </row>
    <row r="96" spans="1:11">
      <c r="A96" s="2"/>
      <c r="B96" s="2"/>
      <c r="C96" s="2"/>
      <c r="D96" s="2"/>
      <c r="E96" s="3"/>
      <c r="F96" s="3"/>
      <c r="G96" s="2"/>
      <c r="H96" s="2"/>
      <c r="I96" s="2" t="str">
        <f ca="1">IF(OR(F96="",G96="Complete"),"",MAX(0,TODAY()-F96))</f>
        <v/>
      </c>
      <c r="J96" s="2" t="str">
        <f ca="1">IF(OR(F96="",G96="Complete"),"",IF(F96&lt;TODAY(),"Overdue",IF(F96-TODAY()&lt;=7,"Due soon","On track")))</f>
        <v/>
      </c>
      <c r="K96" s="2"/>
    </row>
    <row r="97" spans="1:11">
      <c r="A97" s="2"/>
      <c r="B97" s="2"/>
      <c r="C97" s="2"/>
      <c r="D97" s="2"/>
      <c r="E97" s="3"/>
      <c r="F97" s="3"/>
      <c r="G97" s="2"/>
      <c r="H97" s="2"/>
      <c r="I97" s="2" t="str">
        <f ca="1">IF(OR(F97="",G97="Complete"),"",MAX(0,TODAY()-F97))</f>
        <v/>
      </c>
      <c r="J97" s="2" t="str">
        <f ca="1">IF(OR(F97="",G97="Complete"),"",IF(F97&lt;TODAY(),"Overdue",IF(F97-TODAY()&lt;=7,"Due soon","On track")))</f>
        <v/>
      </c>
      <c r="K97" s="2"/>
    </row>
    <row r="98" spans="1:11">
      <c r="A98" s="2"/>
      <c r="B98" s="2"/>
      <c r="C98" s="2"/>
      <c r="D98" s="2"/>
      <c r="E98" s="3"/>
      <c r="F98" s="3"/>
      <c r="G98" s="2"/>
      <c r="H98" s="2"/>
      <c r="I98" s="2" t="str">
        <f ca="1">IF(OR(F98="",G98="Complete"),"",MAX(0,TODAY()-F98))</f>
        <v/>
      </c>
      <c r="J98" s="2" t="str">
        <f ca="1">IF(OR(F98="",G98="Complete"),"",IF(F98&lt;TODAY(),"Overdue",IF(F98-TODAY()&lt;=7,"Due soon","On track")))</f>
        <v/>
      </c>
      <c r="K98" s="2"/>
    </row>
    <row r="99" spans="1:11">
      <c r="A99" s="2"/>
      <c r="B99" s="2"/>
      <c r="C99" s="2"/>
      <c r="D99" s="2"/>
      <c r="E99" s="3"/>
      <c r="F99" s="3"/>
      <c r="G99" s="2"/>
      <c r="H99" s="2"/>
      <c r="I99" s="2" t="str">
        <f ca="1">IF(OR(F99="",G99="Complete"),"",MAX(0,TODAY()-F99))</f>
        <v/>
      </c>
      <c r="J99" s="2" t="str">
        <f ca="1">IF(OR(F99="",G99="Complete"),"",IF(F99&lt;TODAY(),"Overdue",IF(F99-TODAY()&lt;=7,"Due soon","On track")))</f>
        <v/>
      </c>
      <c r="K99" s="2"/>
    </row>
    <row r="100" spans="1:11">
      <c r="A100" s="2"/>
      <c r="B100" s="2"/>
      <c r="C100" s="2"/>
      <c r="D100" s="2"/>
      <c r="E100" s="3"/>
      <c r="F100" s="3"/>
      <c r="G100" s="2"/>
      <c r="H100" s="2"/>
      <c r="I100" s="2" t="str">
        <f ca="1">IF(OR(F100="",G100="Complete"),"",MAX(0,TODAY()-F100))</f>
        <v/>
      </c>
      <c r="J100" s="2" t="str">
        <f ca="1">IF(OR(F100="",G100="Complete"),"",IF(F100&lt;TODAY(),"Overdue",IF(F100-TODAY()&lt;=7,"Due soon","On track")))</f>
        <v/>
      </c>
      <c r="K100" s="2"/>
    </row>
    <row r="101" spans="1:11">
      <c r="A101" s="2"/>
      <c r="B101" s="2"/>
      <c r="C101" s="2"/>
      <c r="D101" s="2"/>
      <c r="E101" s="3"/>
      <c r="F101" s="3"/>
      <c r="G101" s="2"/>
      <c r="H101" s="2"/>
      <c r="I101" s="2" t="str">
        <f ca="1">IF(OR(F101="",G101="Complete"),"",MAX(0,TODAY()-F101))</f>
        <v/>
      </c>
      <c r="J101" s="2" t="str">
        <f ca="1">IF(OR(F101="",G101="Complete"),"",IF(F101&lt;TODAY(),"Overdue",IF(F101-TODAY()&lt;=7,"Due soon","On track")))</f>
        <v/>
      </c>
      <c r="K101" s="2"/>
    </row>
    <row r="102" spans="1:11">
      <c r="A102" s="2"/>
      <c r="B102" s="2"/>
      <c r="C102" s="2"/>
      <c r="D102" s="2"/>
      <c r="E102" s="3"/>
      <c r="F102" s="3"/>
      <c r="G102" s="2"/>
      <c r="H102" s="2"/>
      <c r="I102" s="2" t="str">
        <f ca="1">IF(OR(F102="",G102="Complete"),"",MAX(0,TODAY()-F102))</f>
        <v/>
      </c>
      <c r="J102" s="2" t="str">
        <f ca="1">IF(OR(F102="",G102="Complete"),"",IF(F102&lt;TODAY(),"Overdue",IF(F102-TODAY()&lt;=7,"Due soon","On track")))</f>
        <v/>
      </c>
      <c r="K102" s="2"/>
    </row>
    <row r="103" spans="1:11">
      <c r="A103" s="2"/>
      <c r="B103" s="2"/>
      <c r="C103" s="2"/>
      <c r="D103" s="2"/>
      <c r="E103" s="3"/>
      <c r="F103" s="3"/>
      <c r="G103" s="2"/>
      <c r="H103" s="2"/>
      <c r="I103" s="2" t="str">
        <f ca="1">IF(OR(F103="",G103="Complete"),"",MAX(0,TODAY()-F103))</f>
        <v/>
      </c>
      <c r="J103" s="2" t="str">
        <f ca="1">IF(OR(F103="",G103="Complete"),"",IF(F103&lt;TODAY(),"Overdue",IF(F103-TODAY()&lt;=7,"Due soon","On track")))</f>
        <v/>
      </c>
      <c r="K103" s="2"/>
    </row>
    <row r="104" spans="1:11">
      <c r="A104" s="2"/>
      <c r="B104" s="2"/>
      <c r="C104" s="2"/>
      <c r="D104" s="2"/>
      <c r="E104" s="3"/>
      <c r="F104" s="3"/>
      <c r="G104" s="2"/>
      <c r="H104" s="2"/>
      <c r="I104" s="2" t="str">
        <f ca="1">IF(OR(F104="",G104="Complete"),"",MAX(0,TODAY()-F104))</f>
        <v/>
      </c>
      <c r="J104" s="2" t="str">
        <f ca="1">IF(OR(F104="",G104="Complete"),"",IF(F104&lt;TODAY(),"Overdue",IF(F104-TODAY()&lt;=7,"Due soon","On track")))</f>
        <v/>
      </c>
      <c r="K104" s="2"/>
    </row>
    <row r="105" spans="1:11">
      <c r="A105" s="2"/>
      <c r="B105" s="2"/>
      <c r="C105" s="2"/>
      <c r="D105" s="2"/>
      <c r="E105" s="3"/>
      <c r="F105" s="3"/>
      <c r="G105" s="2"/>
      <c r="H105" s="2"/>
      <c r="I105" s="2" t="str">
        <f ca="1">IF(OR(F105="",G105="Complete"),"",MAX(0,TODAY()-F105))</f>
        <v/>
      </c>
      <c r="J105" s="2" t="str">
        <f ca="1">IF(OR(F105="",G105="Complete"),"",IF(F105&lt;TODAY(),"Overdue",IF(F105-TODAY()&lt;=7,"Due soon","On track")))</f>
        <v/>
      </c>
      <c r="K105" s="2"/>
    </row>
    <row r="106" spans="1:11">
      <c r="A106" s="2"/>
      <c r="B106" s="2"/>
      <c r="C106" s="2"/>
      <c r="D106" s="2"/>
      <c r="E106" s="3"/>
      <c r="F106" s="3"/>
      <c r="G106" s="2"/>
      <c r="H106" s="2"/>
      <c r="I106" s="2" t="str">
        <f ca="1">IF(OR(F106="",G106="Complete"),"",MAX(0,TODAY()-F106))</f>
        <v/>
      </c>
      <c r="J106" s="2" t="str">
        <f ca="1">IF(OR(F106="",G106="Complete"),"",IF(F106&lt;TODAY(),"Overdue",IF(F106-TODAY()&lt;=7,"Due soon","On track")))</f>
        <v/>
      </c>
      <c r="K106" s="2"/>
    </row>
    <row r="107" spans="1:11">
      <c r="A107" s="2"/>
      <c r="B107" s="2"/>
      <c r="C107" s="2"/>
      <c r="D107" s="2"/>
      <c r="E107" s="3"/>
      <c r="F107" s="3"/>
      <c r="G107" s="2"/>
      <c r="H107" s="2"/>
      <c r="I107" s="2" t="str">
        <f ca="1">IF(OR(F107="",G107="Complete"),"",MAX(0,TODAY()-F107))</f>
        <v/>
      </c>
      <c r="J107" s="2" t="str">
        <f ca="1">IF(OR(F107="",G107="Complete"),"",IF(F107&lt;TODAY(),"Overdue",IF(F107-TODAY()&lt;=7,"Due soon","On track")))</f>
        <v/>
      </c>
      <c r="K107" s="2"/>
    </row>
    <row r="108" spans="1:11">
      <c r="A108" s="2"/>
      <c r="B108" s="2"/>
      <c r="C108" s="2"/>
      <c r="D108" s="2"/>
      <c r="E108" s="3"/>
      <c r="F108" s="3"/>
      <c r="G108" s="2"/>
      <c r="H108" s="2"/>
      <c r="I108" s="2" t="str">
        <f ca="1">IF(OR(F108="",G108="Complete"),"",MAX(0,TODAY()-F108))</f>
        <v/>
      </c>
      <c r="J108" s="2" t="str">
        <f ca="1">IF(OR(F108="",G108="Complete"),"",IF(F108&lt;TODAY(),"Overdue",IF(F108-TODAY()&lt;=7,"Due soon","On track")))</f>
        <v/>
      </c>
      <c r="K108" s="2"/>
    </row>
    <row r="109" spans="1:11">
      <c r="A109" s="2"/>
      <c r="B109" s="2"/>
      <c r="C109" s="2"/>
      <c r="D109" s="2"/>
      <c r="E109" s="3"/>
      <c r="F109" s="3"/>
      <c r="G109" s="2"/>
      <c r="H109" s="2"/>
      <c r="I109" s="2" t="str">
        <f ca="1">IF(OR(F109="",G109="Complete"),"",MAX(0,TODAY()-F109))</f>
        <v/>
      </c>
      <c r="J109" s="2" t="str">
        <f ca="1">IF(OR(F109="",G109="Complete"),"",IF(F109&lt;TODAY(),"Overdue",IF(F109-TODAY()&lt;=7,"Due soon","On track")))</f>
        <v/>
      </c>
      <c r="K109" s="2"/>
    </row>
    <row r="110" spans="1:11">
      <c r="A110" s="2"/>
      <c r="B110" s="2"/>
      <c r="C110" s="2"/>
      <c r="D110" s="2"/>
      <c r="E110" s="3"/>
      <c r="F110" s="3"/>
      <c r="G110" s="2"/>
      <c r="H110" s="2"/>
      <c r="I110" s="2" t="str">
        <f ca="1">IF(OR(F110="",G110="Complete"),"",MAX(0,TODAY()-F110))</f>
        <v/>
      </c>
      <c r="J110" s="2" t="str">
        <f ca="1">IF(OR(F110="",G110="Complete"),"",IF(F110&lt;TODAY(),"Overdue",IF(F110-TODAY()&lt;=7,"Due soon","On track")))</f>
        <v/>
      </c>
      <c r="K110" s="2"/>
    </row>
    <row r="111" spans="1:11">
      <c r="A111" s="2"/>
      <c r="B111" s="2"/>
      <c r="C111" s="2"/>
      <c r="D111" s="2"/>
      <c r="E111" s="3"/>
      <c r="F111" s="3"/>
      <c r="G111" s="2"/>
      <c r="H111" s="2"/>
      <c r="I111" s="2" t="str">
        <f ca="1">IF(OR(F111="",G111="Complete"),"",MAX(0,TODAY()-F111))</f>
        <v/>
      </c>
      <c r="J111" s="2" t="str">
        <f ca="1">IF(OR(F111="",G111="Complete"),"",IF(F111&lt;TODAY(),"Overdue",IF(F111-TODAY()&lt;=7,"Due soon","On track")))</f>
        <v/>
      </c>
      <c r="K111" s="2"/>
    </row>
    <row r="112" spans="1:11">
      <c r="A112" s="2"/>
      <c r="B112" s="2"/>
      <c r="C112" s="2"/>
      <c r="D112" s="2"/>
      <c r="E112" s="3"/>
      <c r="F112" s="3"/>
      <c r="G112" s="2"/>
      <c r="H112" s="2"/>
      <c r="I112" s="2" t="str">
        <f ca="1">IF(OR(F112="",G112="Complete"),"",MAX(0,TODAY()-F112))</f>
        <v/>
      </c>
      <c r="J112" s="2" t="str">
        <f ca="1">IF(OR(F112="",G112="Complete"),"",IF(F112&lt;TODAY(),"Overdue",IF(F112-TODAY()&lt;=7,"Due soon","On track")))</f>
        <v/>
      </c>
      <c r="K112" s="2"/>
    </row>
    <row r="113" spans="1:11">
      <c r="A113" s="2"/>
      <c r="B113" s="2"/>
      <c r="C113" s="2"/>
      <c r="D113" s="2"/>
      <c r="E113" s="3"/>
      <c r="F113" s="3"/>
      <c r="G113" s="2"/>
      <c r="H113" s="2"/>
      <c r="I113" s="2" t="str">
        <f ca="1">IF(OR(F113="",G113="Complete"),"",MAX(0,TODAY()-F113))</f>
        <v/>
      </c>
      <c r="J113" s="2" t="str">
        <f ca="1">IF(OR(F113="",G113="Complete"),"",IF(F113&lt;TODAY(),"Overdue",IF(F113-TODAY()&lt;=7,"Due soon","On track")))</f>
        <v/>
      </c>
      <c r="K113" s="2"/>
    </row>
    <row r="114" spans="1:11">
      <c r="A114" s="2"/>
      <c r="B114" s="2"/>
      <c r="C114" s="2"/>
      <c r="D114" s="2"/>
      <c r="E114" s="3"/>
      <c r="F114" s="3"/>
      <c r="G114" s="2"/>
      <c r="H114" s="2"/>
      <c r="I114" s="2" t="str">
        <f ca="1">IF(OR(F114="",G114="Complete"),"",MAX(0,TODAY()-F114))</f>
        <v/>
      </c>
      <c r="J114" s="2" t="str">
        <f ca="1">IF(OR(F114="",G114="Complete"),"",IF(F114&lt;TODAY(),"Overdue",IF(F114-TODAY()&lt;=7,"Due soon","On track")))</f>
        <v/>
      </c>
      <c r="K114" s="2"/>
    </row>
    <row r="115" spans="1:11">
      <c r="A115" s="2"/>
      <c r="B115" s="2"/>
      <c r="C115" s="2"/>
      <c r="D115" s="2"/>
      <c r="E115" s="3"/>
      <c r="F115" s="3"/>
      <c r="G115" s="2"/>
      <c r="H115" s="2"/>
      <c r="I115" s="2" t="str">
        <f ca="1">IF(OR(F115="",G115="Complete"),"",MAX(0,TODAY()-F115))</f>
        <v/>
      </c>
      <c r="J115" s="2" t="str">
        <f ca="1">IF(OR(F115="",G115="Complete"),"",IF(F115&lt;TODAY(),"Overdue",IF(F115-TODAY()&lt;=7,"Due soon","On track")))</f>
        <v/>
      </c>
      <c r="K115" s="2"/>
    </row>
    <row r="116" spans="1:11">
      <c r="A116" s="2"/>
      <c r="B116" s="2"/>
      <c r="C116" s="2"/>
      <c r="D116" s="2"/>
      <c r="E116" s="3"/>
      <c r="F116" s="3"/>
      <c r="G116" s="2"/>
      <c r="H116" s="2"/>
      <c r="I116" s="2" t="str">
        <f ca="1">IF(OR(F116="",G116="Complete"),"",MAX(0,TODAY()-F116))</f>
        <v/>
      </c>
      <c r="J116" s="2" t="str">
        <f ca="1">IF(OR(F116="",G116="Complete"),"",IF(F116&lt;TODAY(),"Overdue",IF(F116-TODAY()&lt;=7,"Due soon","On track")))</f>
        <v/>
      </c>
      <c r="K116" s="2"/>
    </row>
    <row r="117" spans="1:11">
      <c r="A117" s="2"/>
      <c r="B117" s="2"/>
      <c r="C117" s="2"/>
      <c r="D117" s="2"/>
      <c r="E117" s="3"/>
      <c r="F117" s="3"/>
      <c r="G117" s="2"/>
      <c r="H117" s="2"/>
      <c r="I117" s="2" t="str">
        <f ca="1">IF(OR(F117="",G117="Complete"),"",MAX(0,TODAY()-F117))</f>
        <v/>
      </c>
      <c r="J117" s="2" t="str">
        <f ca="1">IF(OR(F117="",G117="Complete"),"",IF(F117&lt;TODAY(),"Overdue",IF(F117-TODAY()&lt;=7,"Due soon","On track")))</f>
        <v/>
      </c>
      <c r="K117" s="2"/>
    </row>
    <row r="118" spans="1:11">
      <c r="A118" s="2"/>
      <c r="B118" s="2"/>
      <c r="C118" s="2"/>
      <c r="D118" s="2"/>
      <c r="E118" s="3"/>
      <c r="F118" s="3"/>
      <c r="G118" s="2"/>
      <c r="H118" s="2"/>
      <c r="I118" s="2" t="str">
        <f ca="1">IF(OR(F118="",G118="Complete"),"",MAX(0,TODAY()-F118))</f>
        <v/>
      </c>
      <c r="J118" s="2" t="str">
        <f ca="1">IF(OR(F118="",G118="Complete"),"",IF(F118&lt;TODAY(),"Overdue",IF(F118-TODAY()&lt;=7,"Due soon","On track")))</f>
        <v/>
      </c>
      <c r="K118" s="2"/>
    </row>
    <row r="119" spans="1:11">
      <c r="A119" s="2"/>
      <c r="B119" s="2"/>
      <c r="C119" s="2"/>
      <c r="D119" s="2"/>
      <c r="E119" s="3"/>
      <c r="F119" s="3"/>
      <c r="G119" s="2"/>
      <c r="H119" s="2"/>
      <c r="I119" s="2" t="str">
        <f ca="1">IF(OR(F119="",G119="Complete"),"",MAX(0,TODAY()-F119))</f>
        <v/>
      </c>
      <c r="J119" s="2" t="str">
        <f ca="1">IF(OR(F119="",G119="Complete"),"",IF(F119&lt;TODAY(),"Overdue",IF(F119-TODAY()&lt;=7,"Due soon","On track")))</f>
        <v/>
      </c>
      <c r="K119" s="2"/>
    </row>
    <row r="120" spans="1:11">
      <c r="A120" s="2"/>
      <c r="B120" s="2"/>
      <c r="C120" s="2"/>
      <c r="D120" s="2"/>
      <c r="E120" s="3"/>
      <c r="F120" s="3"/>
      <c r="G120" s="2"/>
      <c r="H120" s="2"/>
      <c r="I120" s="2" t="str">
        <f ca="1">IF(OR(F120="",G120="Complete"),"",MAX(0,TODAY()-F120))</f>
        <v/>
      </c>
      <c r="J120" s="2" t="str">
        <f ca="1">IF(OR(F120="",G120="Complete"),"",IF(F120&lt;TODAY(),"Overdue",IF(F120-TODAY()&lt;=7,"Due soon","On track")))</f>
        <v/>
      </c>
      <c r="K120" s="2"/>
    </row>
    <row r="121" spans="1:11">
      <c r="A121" s="2"/>
      <c r="B121" s="2"/>
      <c r="C121" s="2"/>
      <c r="D121" s="2"/>
      <c r="E121" s="3"/>
      <c r="F121" s="3"/>
      <c r="G121" s="2"/>
      <c r="H121" s="2"/>
      <c r="I121" s="2" t="str">
        <f ca="1">IF(OR(F121="",G121="Complete"),"",MAX(0,TODAY()-F121))</f>
        <v/>
      </c>
      <c r="J121" s="2" t="str">
        <f ca="1">IF(OR(F121="",G121="Complete"),"",IF(F121&lt;TODAY(),"Overdue",IF(F121-TODAY()&lt;=7,"Due soon","On track")))</f>
        <v/>
      </c>
      <c r="K121" s="2"/>
    </row>
    <row r="122" spans="1:11">
      <c r="A122" s="2"/>
      <c r="B122" s="2"/>
      <c r="C122" s="2"/>
      <c r="D122" s="2"/>
      <c r="E122" s="3"/>
      <c r="F122" s="3"/>
      <c r="G122" s="2"/>
      <c r="H122" s="2"/>
      <c r="I122" s="2" t="str">
        <f ca="1">IF(OR(F122="",G122="Complete"),"",MAX(0,TODAY()-F122))</f>
        <v/>
      </c>
      <c r="J122" s="2" t="str">
        <f ca="1">IF(OR(F122="",G122="Complete"),"",IF(F122&lt;TODAY(),"Overdue",IF(F122-TODAY()&lt;=7,"Due soon","On track")))</f>
        <v/>
      </c>
      <c r="K122" s="2"/>
    </row>
    <row r="123" spans="1:11">
      <c r="A123" s="2"/>
      <c r="B123" s="2"/>
      <c r="C123" s="2"/>
      <c r="D123" s="2"/>
      <c r="E123" s="3"/>
      <c r="F123" s="3"/>
      <c r="G123" s="2"/>
      <c r="H123" s="2"/>
      <c r="I123" s="2" t="str">
        <f ca="1">IF(OR(F123="",G123="Complete"),"",MAX(0,TODAY()-F123))</f>
        <v/>
      </c>
      <c r="J123" s="2" t="str">
        <f ca="1">IF(OR(F123="",G123="Complete"),"",IF(F123&lt;TODAY(),"Overdue",IF(F123-TODAY()&lt;=7,"Due soon","On track")))</f>
        <v/>
      </c>
      <c r="K123" s="2"/>
    </row>
    <row r="124" spans="1:11">
      <c r="A124" s="2"/>
      <c r="B124" s="2"/>
      <c r="C124" s="2"/>
      <c r="D124" s="2"/>
      <c r="E124" s="3"/>
      <c r="F124" s="3"/>
      <c r="G124" s="2"/>
      <c r="H124" s="2"/>
      <c r="I124" s="2" t="str">
        <f ca="1">IF(OR(F124="",G124="Complete"),"",MAX(0,TODAY()-F124))</f>
        <v/>
      </c>
      <c r="J124" s="2" t="str">
        <f ca="1">IF(OR(F124="",G124="Complete"),"",IF(F124&lt;TODAY(),"Overdue",IF(F124-TODAY()&lt;=7,"Due soon","On track")))</f>
        <v/>
      </c>
      <c r="K124" s="2"/>
    </row>
    <row r="125" spans="1:11">
      <c r="A125" s="2"/>
      <c r="B125" s="2"/>
      <c r="C125" s="2"/>
      <c r="D125" s="2"/>
      <c r="E125" s="3"/>
      <c r="F125" s="3"/>
      <c r="G125" s="2"/>
      <c r="H125" s="2"/>
      <c r="I125" s="2" t="str">
        <f ca="1">IF(OR(F125="",G125="Complete"),"",MAX(0,TODAY()-F125))</f>
        <v/>
      </c>
      <c r="J125" s="2" t="str">
        <f ca="1">IF(OR(F125="",G125="Complete"),"",IF(F125&lt;TODAY(),"Overdue",IF(F125-TODAY()&lt;=7,"Due soon","On track")))</f>
        <v/>
      </c>
      <c r="K125" s="2"/>
    </row>
    <row r="126" spans="1:11">
      <c r="A126" s="2"/>
      <c r="B126" s="2"/>
      <c r="C126" s="2"/>
      <c r="D126" s="2"/>
      <c r="E126" s="3"/>
      <c r="F126" s="3"/>
      <c r="G126" s="2"/>
      <c r="H126" s="2"/>
      <c r="I126" s="2" t="str">
        <f ca="1">IF(OR(F126="",G126="Complete"),"",MAX(0,TODAY()-F126))</f>
        <v/>
      </c>
      <c r="J126" s="2" t="str">
        <f ca="1">IF(OR(F126="",G126="Complete"),"",IF(F126&lt;TODAY(),"Overdue",IF(F126-TODAY()&lt;=7,"Due soon","On track")))</f>
        <v/>
      </c>
      <c r="K126" s="2"/>
    </row>
    <row r="127" spans="1:11">
      <c r="A127" s="2"/>
      <c r="B127" s="2"/>
      <c r="C127" s="2"/>
      <c r="D127" s="2"/>
      <c r="E127" s="3"/>
      <c r="F127" s="3"/>
      <c r="G127" s="2"/>
      <c r="H127" s="2"/>
      <c r="I127" s="2" t="str">
        <f ca="1">IF(OR(F127="",G127="Complete"),"",MAX(0,TODAY()-F127))</f>
        <v/>
      </c>
      <c r="J127" s="2" t="str">
        <f ca="1">IF(OR(F127="",G127="Complete"),"",IF(F127&lt;TODAY(),"Overdue",IF(F127-TODAY()&lt;=7,"Due soon","On track")))</f>
        <v/>
      </c>
      <c r="K127" s="2"/>
    </row>
    <row r="128" spans="1:11">
      <c r="A128" s="2"/>
      <c r="B128" s="2"/>
      <c r="C128" s="2"/>
      <c r="D128" s="2"/>
      <c r="E128" s="3"/>
      <c r="F128" s="3"/>
      <c r="G128" s="2"/>
      <c r="H128" s="2"/>
      <c r="I128" s="2" t="str">
        <f ca="1">IF(OR(F128="",G128="Complete"),"",MAX(0,TODAY()-F128))</f>
        <v/>
      </c>
      <c r="J128" s="2" t="str">
        <f ca="1">IF(OR(F128="",G128="Complete"),"",IF(F128&lt;TODAY(),"Overdue",IF(F128-TODAY()&lt;=7,"Due soon","On track")))</f>
        <v/>
      </c>
      <c r="K128" s="2"/>
    </row>
    <row r="129" spans="1:11">
      <c r="A129" s="2"/>
      <c r="B129" s="2"/>
      <c r="C129" s="2"/>
      <c r="D129" s="2"/>
      <c r="E129" s="3"/>
      <c r="F129" s="3"/>
      <c r="G129" s="2"/>
      <c r="H129" s="2"/>
      <c r="I129" s="2" t="str">
        <f ca="1">IF(OR(F129="",G129="Complete"),"",MAX(0,TODAY()-F129))</f>
        <v/>
      </c>
      <c r="J129" s="2" t="str">
        <f ca="1">IF(OR(F129="",G129="Complete"),"",IF(F129&lt;TODAY(),"Overdue",IF(F129-TODAY()&lt;=7,"Due soon","On track")))</f>
        <v/>
      </c>
      <c r="K129" s="2"/>
    </row>
    <row r="130" spans="1:11">
      <c r="A130" s="2"/>
      <c r="B130" s="2"/>
      <c r="C130" s="2"/>
      <c r="D130" s="2"/>
      <c r="E130" s="3"/>
      <c r="F130" s="3"/>
      <c r="G130" s="2"/>
      <c r="H130" s="2"/>
      <c r="I130" s="2" t="str">
        <f ca="1">IF(OR(F130="",G130="Complete"),"",MAX(0,TODAY()-F130))</f>
        <v/>
      </c>
      <c r="J130" s="2" t="str">
        <f ca="1">IF(OR(F130="",G130="Complete"),"",IF(F130&lt;TODAY(),"Overdue",IF(F130-TODAY()&lt;=7,"Due soon","On track")))</f>
        <v/>
      </c>
      <c r="K130" s="2"/>
    </row>
    <row r="131" spans="1:11">
      <c r="A131" s="2"/>
      <c r="B131" s="2"/>
      <c r="C131" s="2"/>
      <c r="D131" s="2"/>
      <c r="E131" s="3"/>
      <c r="F131" s="3"/>
      <c r="G131" s="2"/>
      <c r="H131" s="2"/>
      <c r="I131" s="2" t="str">
        <f ca="1">IF(OR(F131="",G131="Complete"),"",MAX(0,TODAY()-F131))</f>
        <v/>
      </c>
      <c r="J131" s="2" t="str">
        <f ca="1">IF(OR(F131="",G131="Complete"),"",IF(F131&lt;TODAY(),"Overdue",IF(F131-TODAY()&lt;=7,"Due soon","On track")))</f>
        <v/>
      </c>
      <c r="K131" s="2"/>
    </row>
    <row r="132" spans="1:11">
      <c r="A132" s="2"/>
      <c r="B132" s="2"/>
      <c r="C132" s="2"/>
      <c r="D132" s="2"/>
      <c r="E132" s="3"/>
      <c r="F132" s="3"/>
      <c r="G132" s="2"/>
      <c r="H132" s="2"/>
      <c r="I132" s="2" t="str">
        <f ca="1">IF(OR(F132="",G132="Complete"),"",MAX(0,TODAY()-F132))</f>
        <v/>
      </c>
      <c r="J132" s="2" t="str">
        <f ca="1">IF(OR(F132="",G132="Complete"),"",IF(F132&lt;TODAY(),"Overdue",IF(F132-TODAY()&lt;=7,"Due soon","On track")))</f>
        <v/>
      </c>
      <c r="K132" s="2"/>
    </row>
    <row r="133" spans="1:11">
      <c r="A133" s="2"/>
      <c r="B133" s="2"/>
      <c r="C133" s="2"/>
      <c r="D133" s="2"/>
      <c r="E133" s="3"/>
      <c r="F133" s="3"/>
      <c r="G133" s="2"/>
      <c r="H133" s="2"/>
      <c r="I133" s="2" t="str">
        <f ca="1">IF(OR(F133="",G133="Complete"),"",MAX(0,TODAY()-F133))</f>
        <v/>
      </c>
      <c r="J133" s="2" t="str">
        <f ca="1">IF(OR(F133="",G133="Complete"),"",IF(F133&lt;TODAY(),"Overdue",IF(F133-TODAY()&lt;=7,"Due soon","On track")))</f>
        <v/>
      </c>
      <c r="K133" s="2"/>
    </row>
    <row r="134" spans="1:11">
      <c r="A134" s="2"/>
      <c r="B134" s="2"/>
      <c r="C134" s="2"/>
      <c r="D134" s="2"/>
      <c r="E134" s="3"/>
      <c r="F134" s="3"/>
      <c r="G134" s="2"/>
      <c r="H134" s="2"/>
      <c r="I134" s="2" t="str">
        <f ca="1">IF(OR(F134="",G134="Complete"),"",MAX(0,TODAY()-F134))</f>
        <v/>
      </c>
      <c r="J134" s="2" t="str">
        <f ca="1">IF(OR(F134="",G134="Complete"),"",IF(F134&lt;TODAY(),"Overdue",IF(F134-TODAY()&lt;=7,"Due soon","On track")))</f>
        <v/>
      </c>
      <c r="K134" s="2"/>
    </row>
    <row r="135" spans="1:11">
      <c r="A135" s="2"/>
      <c r="B135" s="2"/>
      <c r="C135" s="2"/>
      <c r="D135" s="2"/>
      <c r="E135" s="3"/>
      <c r="F135" s="3"/>
      <c r="G135" s="2"/>
      <c r="H135" s="2"/>
      <c r="I135" s="2" t="str">
        <f ca="1">IF(OR(F135="",G135="Complete"),"",MAX(0,TODAY()-F135))</f>
        <v/>
      </c>
      <c r="J135" s="2" t="str">
        <f ca="1">IF(OR(F135="",G135="Complete"),"",IF(F135&lt;TODAY(),"Overdue",IF(F135-TODAY()&lt;=7,"Due soon","On track")))</f>
        <v/>
      </c>
      <c r="K135" s="2"/>
    </row>
    <row r="136" spans="1:11">
      <c r="A136" s="2"/>
      <c r="B136" s="2"/>
      <c r="C136" s="2"/>
      <c r="D136" s="2"/>
      <c r="E136" s="3"/>
      <c r="F136" s="3"/>
      <c r="G136" s="2"/>
      <c r="H136" s="2"/>
      <c r="I136" s="2" t="str">
        <f ca="1">IF(OR(F136="",G136="Complete"),"",MAX(0,TODAY()-F136))</f>
        <v/>
      </c>
      <c r="J136" s="2" t="str">
        <f ca="1">IF(OR(F136="",G136="Complete"),"",IF(F136&lt;TODAY(),"Overdue",IF(F136-TODAY()&lt;=7,"Due soon","On track")))</f>
        <v/>
      </c>
      <c r="K136" s="2"/>
    </row>
    <row r="137" spans="1:11">
      <c r="A137" s="2"/>
      <c r="B137" s="2"/>
      <c r="C137" s="2"/>
      <c r="D137" s="2"/>
      <c r="E137" s="3"/>
      <c r="F137" s="3"/>
      <c r="G137" s="2"/>
      <c r="H137" s="2"/>
      <c r="I137" s="2" t="str">
        <f ca="1">IF(OR(F137="",G137="Complete"),"",MAX(0,TODAY()-F137))</f>
        <v/>
      </c>
      <c r="J137" s="2" t="str">
        <f ca="1">IF(OR(F137="",G137="Complete"),"",IF(F137&lt;TODAY(),"Overdue",IF(F137-TODAY()&lt;=7,"Due soon","On track")))</f>
        <v/>
      </c>
      <c r="K137" s="2"/>
    </row>
    <row r="138" spans="1:11">
      <c r="A138" s="2"/>
      <c r="B138" s="2"/>
      <c r="C138" s="2"/>
      <c r="D138" s="2"/>
      <c r="E138" s="3"/>
      <c r="F138" s="3"/>
      <c r="G138" s="2"/>
      <c r="H138" s="2"/>
      <c r="I138" s="2" t="str">
        <f ca="1">IF(OR(F138="",G138="Complete"),"",MAX(0,TODAY()-F138))</f>
        <v/>
      </c>
      <c r="J138" s="2" t="str">
        <f ca="1">IF(OR(F138="",G138="Complete"),"",IF(F138&lt;TODAY(),"Overdue",IF(F138-TODAY()&lt;=7,"Due soon","On track")))</f>
        <v/>
      </c>
      <c r="K138" s="2"/>
    </row>
    <row r="139" spans="1:11">
      <c r="A139" s="2"/>
      <c r="B139" s="2"/>
      <c r="C139" s="2"/>
      <c r="D139" s="2"/>
      <c r="E139" s="3"/>
      <c r="F139" s="3"/>
      <c r="G139" s="2"/>
      <c r="H139" s="2"/>
      <c r="I139" s="2" t="str">
        <f ca="1">IF(OR(F139="",G139="Complete"),"",MAX(0,TODAY()-F139))</f>
        <v/>
      </c>
      <c r="J139" s="2" t="str">
        <f ca="1">IF(OR(F139="",G139="Complete"),"",IF(F139&lt;TODAY(),"Overdue",IF(F139-TODAY()&lt;=7,"Due soon","On track")))</f>
        <v/>
      </c>
      <c r="K139" s="2"/>
    </row>
    <row r="140" spans="1:11">
      <c r="A140" s="2"/>
      <c r="B140" s="2"/>
      <c r="C140" s="2"/>
      <c r="D140" s="2"/>
      <c r="E140" s="3"/>
      <c r="F140" s="3"/>
      <c r="G140" s="2"/>
      <c r="H140" s="2"/>
      <c r="I140" s="2" t="str">
        <f ca="1">IF(OR(F140="",G140="Complete"),"",MAX(0,TODAY()-F140))</f>
        <v/>
      </c>
      <c r="J140" s="2" t="str">
        <f ca="1">IF(OR(F140="",G140="Complete"),"",IF(F140&lt;TODAY(),"Overdue",IF(F140-TODAY()&lt;=7,"Due soon","On track")))</f>
        <v/>
      </c>
      <c r="K140" s="2"/>
    </row>
    <row r="141" spans="1:11">
      <c r="A141" s="2"/>
      <c r="B141" s="2"/>
      <c r="C141" s="2"/>
      <c r="D141" s="2"/>
      <c r="E141" s="3"/>
      <c r="F141" s="3"/>
      <c r="G141" s="2"/>
      <c r="H141" s="2"/>
      <c r="I141" s="2" t="str">
        <f ca="1">IF(OR(F141="",G141="Complete"),"",MAX(0,TODAY()-F141))</f>
        <v/>
      </c>
      <c r="J141" s="2" t="str">
        <f ca="1">IF(OR(F141="",G141="Complete"),"",IF(F141&lt;TODAY(),"Overdue",IF(F141-TODAY()&lt;=7,"Due soon","On track")))</f>
        <v/>
      </c>
      <c r="K141" s="2"/>
    </row>
    <row r="142" spans="1:11">
      <c r="A142" s="2"/>
      <c r="B142" s="2"/>
      <c r="C142" s="2"/>
      <c r="D142" s="2"/>
      <c r="E142" s="3"/>
      <c r="F142" s="3"/>
      <c r="G142" s="2"/>
      <c r="H142" s="2"/>
      <c r="I142" s="2" t="str">
        <f ca="1">IF(OR(F142="",G142="Complete"),"",MAX(0,TODAY()-F142))</f>
        <v/>
      </c>
      <c r="J142" s="2" t="str">
        <f ca="1">IF(OR(F142="",G142="Complete"),"",IF(F142&lt;TODAY(),"Overdue",IF(F142-TODAY()&lt;=7,"Due soon","On track")))</f>
        <v/>
      </c>
      <c r="K142" s="2"/>
    </row>
    <row r="143" spans="1:11">
      <c r="A143" s="2"/>
      <c r="B143" s="2"/>
      <c r="C143" s="2"/>
      <c r="D143" s="2"/>
      <c r="E143" s="3"/>
      <c r="F143" s="3"/>
      <c r="G143" s="2"/>
      <c r="H143" s="2"/>
      <c r="I143" s="2" t="str">
        <f ca="1">IF(OR(F143="",G143="Complete"),"",MAX(0,TODAY()-F143))</f>
        <v/>
      </c>
      <c r="J143" s="2" t="str">
        <f ca="1">IF(OR(F143="",G143="Complete"),"",IF(F143&lt;TODAY(),"Overdue",IF(F143-TODAY()&lt;=7,"Due soon","On track")))</f>
        <v/>
      </c>
      <c r="K143" s="2"/>
    </row>
    <row r="144" spans="1:11">
      <c r="A144" s="2"/>
      <c r="B144" s="2"/>
      <c r="C144" s="2"/>
      <c r="D144" s="2"/>
      <c r="E144" s="3"/>
      <c r="F144" s="3"/>
      <c r="G144" s="2"/>
      <c r="H144" s="2"/>
      <c r="I144" s="2" t="str">
        <f ca="1">IF(OR(F144="",G144="Complete"),"",MAX(0,TODAY()-F144))</f>
        <v/>
      </c>
      <c r="J144" s="2" t="str">
        <f ca="1">IF(OR(F144="",G144="Complete"),"",IF(F144&lt;TODAY(),"Overdue",IF(F144-TODAY()&lt;=7,"Due soon","On track")))</f>
        <v/>
      </c>
      <c r="K144" s="2"/>
    </row>
    <row r="145" spans="1:11">
      <c r="A145" s="2"/>
      <c r="B145" s="2"/>
      <c r="C145" s="2"/>
      <c r="D145" s="2"/>
      <c r="E145" s="3"/>
      <c r="F145" s="3"/>
      <c r="G145" s="2"/>
      <c r="H145" s="2"/>
      <c r="I145" s="2" t="str">
        <f ca="1">IF(OR(F145="",G145="Complete"),"",MAX(0,TODAY()-F145))</f>
        <v/>
      </c>
      <c r="J145" s="2" t="str">
        <f ca="1">IF(OR(F145="",G145="Complete"),"",IF(F145&lt;TODAY(),"Overdue",IF(F145-TODAY()&lt;=7,"Due soon","On track")))</f>
        <v/>
      </c>
      <c r="K145" s="2"/>
    </row>
    <row r="146" spans="1:11">
      <c r="A146" s="2"/>
      <c r="B146" s="2"/>
      <c r="C146" s="2"/>
      <c r="D146" s="2"/>
      <c r="E146" s="3"/>
      <c r="F146" s="3"/>
      <c r="G146" s="2"/>
      <c r="H146" s="2"/>
      <c r="I146" s="2" t="str">
        <f ca="1">IF(OR(F146="",G146="Complete"),"",MAX(0,TODAY()-F146))</f>
        <v/>
      </c>
      <c r="J146" s="2" t="str">
        <f ca="1">IF(OR(F146="",G146="Complete"),"",IF(F146&lt;TODAY(),"Overdue",IF(F146-TODAY()&lt;=7,"Due soon","On track")))</f>
        <v/>
      </c>
      <c r="K146" s="2"/>
    </row>
    <row r="147" spans="1:11">
      <c r="A147" s="2"/>
      <c r="B147" s="2"/>
      <c r="C147" s="2"/>
      <c r="D147" s="2"/>
      <c r="E147" s="3"/>
      <c r="F147" s="3"/>
      <c r="G147" s="2"/>
      <c r="H147" s="2"/>
      <c r="I147" s="2" t="str">
        <f ca="1">IF(OR(F147="",G147="Complete"),"",MAX(0,TODAY()-F147))</f>
        <v/>
      </c>
      <c r="J147" s="2" t="str">
        <f ca="1">IF(OR(F147="",G147="Complete"),"",IF(F147&lt;TODAY(),"Overdue",IF(F147-TODAY()&lt;=7,"Due soon","On track")))</f>
        <v/>
      </c>
      <c r="K147" s="2"/>
    </row>
    <row r="148" spans="1:11">
      <c r="A148" s="2"/>
      <c r="B148" s="2"/>
      <c r="C148" s="2"/>
      <c r="D148" s="2"/>
      <c r="E148" s="3"/>
      <c r="F148" s="3"/>
      <c r="G148" s="2"/>
      <c r="H148" s="2"/>
      <c r="I148" s="2" t="str">
        <f ca="1">IF(OR(F148="",G148="Complete"),"",MAX(0,TODAY()-F148))</f>
        <v/>
      </c>
      <c r="J148" s="2" t="str">
        <f ca="1">IF(OR(F148="",G148="Complete"),"",IF(F148&lt;TODAY(),"Overdue",IF(F148-TODAY()&lt;=7,"Due soon","On track")))</f>
        <v/>
      </c>
      <c r="K148" s="2"/>
    </row>
    <row r="149" spans="1:11">
      <c r="A149" s="2"/>
      <c r="B149" s="2"/>
      <c r="C149" s="2"/>
      <c r="D149" s="2"/>
      <c r="E149" s="3"/>
      <c r="F149" s="3"/>
      <c r="G149" s="2"/>
      <c r="H149" s="2"/>
      <c r="I149" s="2" t="str">
        <f ca="1">IF(OR(F149="",G149="Complete"),"",MAX(0,TODAY()-F149))</f>
        <v/>
      </c>
      <c r="J149" s="2" t="str">
        <f ca="1">IF(OR(F149="",G149="Complete"),"",IF(F149&lt;TODAY(),"Overdue",IF(F149-TODAY()&lt;=7,"Due soon","On track")))</f>
        <v/>
      </c>
      <c r="K149" s="2"/>
    </row>
    <row r="150" spans="1:11">
      <c r="A150" s="2"/>
      <c r="B150" s="2"/>
      <c r="C150" s="2"/>
      <c r="D150" s="2"/>
      <c r="E150" s="3"/>
      <c r="F150" s="3"/>
      <c r="G150" s="2"/>
      <c r="H150" s="2"/>
      <c r="I150" s="2" t="str">
        <f ca="1">IF(OR(F150="",G150="Complete"),"",MAX(0,TODAY()-F150))</f>
        <v/>
      </c>
      <c r="J150" s="2" t="str">
        <f ca="1">IF(OR(F150="",G150="Complete"),"",IF(F150&lt;TODAY(),"Overdue",IF(F150-TODAY()&lt;=7,"Due soon","On track")))</f>
        <v/>
      </c>
      <c r="K150" s="2"/>
    </row>
    <row r="151" spans="1:11">
      <c r="A151" s="2"/>
      <c r="B151" s="2"/>
      <c r="C151" s="2"/>
      <c r="D151" s="2"/>
      <c r="E151" s="3"/>
      <c r="F151" s="3"/>
      <c r="G151" s="2"/>
      <c r="H151" s="2"/>
      <c r="I151" s="2" t="str">
        <f ca="1">IF(OR(F151="",G151="Complete"),"",MAX(0,TODAY()-F151))</f>
        <v/>
      </c>
      <c r="J151" s="2" t="str">
        <f ca="1">IF(OR(F151="",G151="Complete"),"",IF(F151&lt;TODAY(),"Overdue",IF(F151-TODAY()&lt;=7,"Due soon","On track")))</f>
        <v/>
      </c>
      <c r="K151" s="2"/>
    </row>
    <row r="152" spans="1:11">
      <c r="A152" s="2"/>
      <c r="B152" s="2"/>
      <c r="C152" s="2"/>
      <c r="D152" s="2"/>
      <c r="E152" s="3"/>
      <c r="F152" s="3"/>
      <c r="G152" s="2"/>
      <c r="H152" s="2"/>
      <c r="I152" s="2" t="str">
        <f ca="1">IF(OR(F152="",G152="Complete"),"",MAX(0,TODAY()-F152))</f>
        <v/>
      </c>
      <c r="J152" s="2" t="str">
        <f ca="1">IF(OR(F152="",G152="Complete"),"",IF(F152&lt;TODAY(),"Overdue",IF(F152-TODAY()&lt;=7,"Due soon","On track")))</f>
        <v/>
      </c>
      <c r="K152" s="2"/>
    </row>
    <row r="153" spans="1:11">
      <c r="A153" s="2"/>
      <c r="B153" s="2"/>
      <c r="C153" s="2"/>
      <c r="D153" s="2"/>
      <c r="E153" s="3"/>
      <c r="F153" s="3"/>
      <c r="G153" s="2"/>
      <c r="H153" s="2"/>
      <c r="I153" s="2" t="str">
        <f ca="1">IF(OR(F153="",G153="Complete"),"",MAX(0,TODAY()-F153))</f>
        <v/>
      </c>
      <c r="J153" s="2" t="str">
        <f ca="1">IF(OR(F153="",G153="Complete"),"",IF(F153&lt;TODAY(),"Overdue",IF(F153-TODAY()&lt;=7,"Due soon","On track")))</f>
        <v/>
      </c>
      <c r="K153" s="2"/>
    </row>
    <row r="154" spans="1:11">
      <c r="A154" s="2"/>
      <c r="B154" s="2"/>
      <c r="C154" s="2"/>
      <c r="D154" s="2"/>
      <c r="E154" s="3"/>
      <c r="F154" s="3"/>
      <c r="G154" s="2"/>
      <c r="H154" s="2"/>
      <c r="I154" s="2" t="str">
        <f ca="1">IF(OR(F154="",G154="Complete"),"",MAX(0,TODAY()-F154))</f>
        <v/>
      </c>
      <c r="J154" s="2" t="str">
        <f ca="1">IF(OR(F154="",G154="Complete"),"",IF(F154&lt;TODAY(),"Overdue",IF(F154-TODAY()&lt;=7,"Due soon","On track")))</f>
        <v/>
      </c>
      <c r="K154" s="2"/>
    </row>
    <row r="155" spans="1:11">
      <c r="A155" s="2"/>
      <c r="B155" s="2"/>
      <c r="C155" s="2"/>
      <c r="D155" s="2"/>
      <c r="E155" s="3"/>
      <c r="F155" s="3"/>
      <c r="G155" s="2"/>
      <c r="H155" s="2"/>
      <c r="I155" s="2" t="str">
        <f ca="1">IF(OR(F155="",G155="Complete"),"",MAX(0,TODAY()-F155))</f>
        <v/>
      </c>
      <c r="J155" s="2" t="str">
        <f ca="1">IF(OR(F155="",G155="Complete"),"",IF(F155&lt;TODAY(),"Overdue",IF(F155-TODAY()&lt;=7,"Due soon","On track")))</f>
        <v/>
      </c>
      <c r="K155" s="2"/>
    </row>
    <row r="156" spans="1:11">
      <c r="A156" s="2"/>
      <c r="B156" s="2"/>
      <c r="C156" s="2"/>
      <c r="D156" s="2"/>
      <c r="E156" s="3"/>
      <c r="F156" s="3"/>
      <c r="G156" s="2"/>
      <c r="H156" s="2"/>
      <c r="I156" s="2" t="str">
        <f ca="1">IF(OR(F156="",G156="Complete"),"",MAX(0,TODAY()-F156))</f>
        <v/>
      </c>
      <c r="J156" s="2" t="str">
        <f ca="1">IF(OR(F156="",G156="Complete"),"",IF(F156&lt;TODAY(),"Overdue",IF(F156-TODAY()&lt;=7,"Due soon","On track")))</f>
        <v/>
      </c>
      <c r="K156" s="2"/>
    </row>
    <row r="157" spans="1:11">
      <c r="A157" s="2"/>
      <c r="B157" s="2"/>
      <c r="C157" s="2"/>
      <c r="D157" s="2"/>
      <c r="E157" s="3"/>
      <c r="F157" s="3"/>
      <c r="G157" s="2"/>
      <c r="H157" s="2"/>
      <c r="I157" s="2" t="str">
        <f ca="1">IF(OR(F157="",G157="Complete"),"",MAX(0,TODAY()-F157))</f>
        <v/>
      </c>
      <c r="J157" s="2" t="str">
        <f ca="1">IF(OR(F157="",G157="Complete"),"",IF(F157&lt;TODAY(),"Overdue",IF(F157-TODAY()&lt;=7,"Due soon","On track")))</f>
        <v/>
      </c>
      <c r="K157" s="2"/>
    </row>
    <row r="158" spans="1:11">
      <c r="A158" s="2"/>
      <c r="B158" s="2"/>
      <c r="C158" s="2"/>
      <c r="D158" s="2"/>
      <c r="E158" s="3"/>
      <c r="F158" s="3"/>
      <c r="G158" s="2"/>
      <c r="H158" s="2"/>
      <c r="I158" s="2" t="str">
        <f ca="1">IF(OR(F158="",G158="Complete"),"",MAX(0,TODAY()-F158))</f>
        <v/>
      </c>
      <c r="J158" s="2" t="str">
        <f ca="1">IF(OR(F158="",G158="Complete"),"",IF(F158&lt;TODAY(),"Overdue",IF(F158-TODAY()&lt;=7,"Due soon","On track")))</f>
        <v/>
      </c>
      <c r="K158" s="2"/>
    </row>
    <row r="159" spans="1:11">
      <c r="A159" s="2"/>
      <c r="B159" s="2"/>
      <c r="C159" s="2"/>
      <c r="D159" s="2"/>
      <c r="E159" s="3"/>
      <c r="F159" s="3"/>
      <c r="G159" s="2"/>
      <c r="H159" s="2"/>
      <c r="I159" s="2" t="str">
        <f ca="1">IF(OR(F159="",G159="Complete"),"",MAX(0,TODAY()-F159))</f>
        <v/>
      </c>
      <c r="J159" s="2" t="str">
        <f ca="1">IF(OR(F159="",G159="Complete"),"",IF(F159&lt;TODAY(),"Overdue",IF(F159-TODAY()&lt;=7,"Due soon","On track")))</f>
        <v/>
      </c>
      <c r="K159" s="2"/>
    </row>
    <row r="160" spans="1:11">
      <c r="A160" s="2"/>
      <c r="B160" s="2"/>
      <c r="C160" s="2"/>
      <c r="D160" s="2"/>
      <c r="E160" s="3"/>
      <c r="F160" s="3"/>
      <c r="G160" s="2"/>
      <c r="H160" s="2"/>
      <c r="I160" s="2" t="str">
        <f ca="1">IF(OR(F160="",G160="Complete"),"",MAX(0,TODAY()-F160))</f>
        <v/>
      </c>
      <c r="J160" s="2" t="str">
        <f ca="1">IF(OR(F160="",G160="Complete"),"",IF(F160&lt;TODAY(),"Overdue",IF(F160-TODAY()&lt;=7,"Due soon","On track")))</f>
        <v/>
      </c>
      <c r="K160" s="2"/>
    </row>
    <row r="161" spans="1:11">
      <c r="A161" s="2"/>
      <c r="B161" s="2"/>
      <c r="C161" s="2"/>
      <c r="D161" s="2"/>
      <c r="E161" s="3"/>
      <c r="F161" s="3"/>
      <c r="G161" s="2"/>
      <c r="H161" s="2"/>
      <c r="I161" s="2" t="str">
        <f ca="1">IF(OR(F161="",G161="Complete"),"",MAX(0,TODAY()-F161))</f>
        <v/>
      </c>
      <c r="J161" s="2" t="str">
        <f ca="1">IF(OR(F161="",G161="Complete"),"",IF(F161&lt;TODAY(),"Overdue",IF(F161-TODAY()&lt;=7,"Due soon","On track")))</f>
        <v/>
      </c>
      <c r="K161" s="2"/>
    </row>
    <row r="162" spans="1:11">
      <c r="A162" s="2"/>
      <c r="B162" s="2"/>
      <c r="C162" s="2"/>
      <c r="D162" s="2"/>
      <c r="E162" s="3"/>
      <c r="F162" s="3"/>
      <c r="G162" s="2"/>
      <c r="H162" s="2"/>
      <c r="I162" s="2" t="str">
        <f ca="1">IF(OR(F162="",G162="Complete"),"",MAX(0,TODAY()-F162))</f>
        <v/>
      </c>
      <c r="J162" s="2" t="str">
        <f ca="1">IF(OR(F162="",G162="Complete"),"",IF(F162&lt;TODAY(),"Overdue",IF(F162-TODAY()&lt;=7,"Due soon","On track")))</f>
        <v/>
      </c>
      <c r="K162" s="2"/>
    </row>
    <row r="163" spans="1:11">
      <c r="A163" s="2"/>
      <c r="B163" s="2"/>
      <c r="C163" s="2"/>
      <c r="D163" s="2"/>
      <c r="E163" s="3"/>
      <c r="F163" s="3"/>
      <c r="G163" s="2"/>
      <c r="H163" s="2"/>
      <c r="I163" s="2" t="str">
        <f ca="1">IF(OR(F163="",G163="Complete"),"",MAX(0,TODAY()-F163))</f>
        <v/>
      </c>
      <c r="J163" s="2" t="str">
        <f ca="1">IF(OR(F163="",G163="Complete"),"",IF(F163&lt;TODAY(),"Overdue",IF(F163-TODAY()&lt;=7,"Due soon","On track")))</f>
        <v/>
      </c>
      <c r="K163" s="2"/>
    </row>
    <row r="164" spans="1:11">
      <c r="A164" s="2"/>
      <c r="B164" s="2"/>
      <c r="C164" s="2"/>
      <c r="D164" s="2"/>
      <c r="E164" s="3"/>
      <c r="F164" s="3"/>
      <c r="G164" s="2"/>
      <c r="H164" s="2"/>
      <c r="I164" s="2" t="str">
        <f ca="1">IF(OR(F164="",G164="Complete"),"",MAX(0,TODAY()-F164))</f>
        <v/>
      </c>
      <c r="J164" s="2" t="str">
        <f ca="1">IF(OR(F164="",G164="Complete"),"",IF(F164&lt;TODAY(),"Overdue",IF(F164-TODAY()&lt;=7,"Due soon","On track")))</f>
        <v/>
      </c>
      <c r="K164" s="2"/>
    </row>
    <row r="165" spans="1:11">
      <c r="A165" s="2"/>
      <c r="B165" s="2"/>
      <c r="C165" s="2"/>
      <c r="D165" s="2"/>
      <c r="E165" s="3"/>
      <c r="F165" s="3"/>
      <c r="G165" s="2"/>
      <c r="H165" s="2"/>
      <c r="I165" s="2" t="str">
        <f ca="1">IF(OR(F165="",G165="Complete"),"",MAX(0,TODAY()-F165))</f>
        <v/>
      </c>
      <c r="J165" s="2" t="str">
        <f ca="1">IF(OR(F165="",G165="Complete"),"",IF(F165&lt;TODAY(),"Overdue",IF(F165-TODAY()&lt;=7,"Due soon","On track")))</f>
        <v/>
      </c>
      <c r="K165" s="2"/>
    </row>
    <row r="166" spans="1:11">
      <c r="A166" s="2"/>
      <c r="B166" s="2"/>
      <c r="C166" s="2"/>
      <c r="D166" s="2"/>
      <c r="E166" s="3"/>
      <c r="F166" s="3"/>
      <c r="G166" s="2"/>
      <c r="H166" s="2"/>
      <c r="I166" s="2" t="str">
        <f ca="1">IF(OR(F166="",G166="Complete"),"",MAX(0,TODAY()-F166))</f>
        <v/>
      </c>
      <c r="J166" s="2" t="str">
        <f ca="1">IF(OR(F166="",G166="Complete"),"",IF(F166&lt;TODAY(),"Overdue",IF(F166-TODAY()&lt;=7,"Due soon","On track")))</f>
        <v/>
      </c>
      <c r="K166" s="2"/>
    </row>
    <row r="167" spans="1:11">
      <c r="A167" s="2"/>
      <c r="B167" s="2"/>
      <c r="C167" s="2"/>
      <c r="D167" s="2"/>
      <c r="E167" s="3"/>
      <c r="F167" s="3"/>
      <c r="G167" s="2"/>
      <c r="H167" s="2"/>
      <c r="I167" s="2" t="str">
        <f ca="1">IF(OR(F167="",G167="Complete"),"",MAX(0,TODAY()-F167))</f>
        <v/>
      </c>
      <c r="J167" s="2" t="str">
        <f ca="1">IF(OR(F167="",G167="Complete"),"",IF(F167&lt;TODAY(),"Overdue",IF(F167-TODAY()&lt;=7,"Due soon","On track")))</f>
        <v/>
      </c>
      <c r="K167" s="2"/>
    </row>
    <row r="168" spans="1:11">
      <c r="A168" s="2"/>
      <c r="B168" s="2"/>
      <c r="C168" s="2"/>
      <c r="D168" s="2"/>
      <c r="E168" s="3"/>
      <c r="F168" s="3"/>
      <c r="G168" s="2"/>
      <c r="H168" s="2"/>
      <c r="I168" s="2" t="str">
        <f ca="1">IF(OR(F168="",G168="Complete"),"",MAX(0,TODAY()-F168))</f>
        <v/>
      </c>
      <c r="J168" s="2" t="str">
        <f ca="1">IF(OR(F168="",G168="Complete"),"",IF(F168&lt;TODAY(),"Overdue",IF(F168-TODAY()&lt;=7,"Due soon","On track")))</f>
        <v/>
      </c>
      <c r="K168" s="2"/>
    </row>
    <row r="169" spans="1:11">
      <c r="A169" s="2"/>
      <c r="B169" s="2"/>
      <c r="C169" s="2"/>
      <c r="D169" s="2"/>
      <c r="E169" s="3"/>
      <c r="F169" s="3"/>
      <c r="G169" s="2"/>
      <c r="H169" s="2"/>
      <c r="I169" s="2" t="str">
        <f ca="1">IF(OR(F169="",G169="Complete"),"",MAX(0,TODAY()-F169))</f>
        <v/>
      </c>
      <c r="J169" s="2" t="str">
        <f ca="1">IF(OR(F169="",G169="Complete"),"",IF(F169&lt;TODAY(),"Overdue",IF(F169-TODAY()&lt;=7,"Due soon","On track")))</f>
        <v/>
      </c>
      <c r="K169" s="2"/>
    </row>
    <row r="170" spans="1:11">
      <c r="A170" s="2"/>
      <c r="B170" s="2"/>
      <c r="C170" s="2"/>
      <c r="D170" s="2"/>
      <c r="E170" s="3"/>
      <c r="F170" s="3"/>
      <c r="G170" s="2"/>
      <c r="H170" s="2"/>
      <c r="I170" s="2" t="str">
        <f ca="1">IF(OR(F170="",G170="Complete"),"",MAX(0,TODAY()-F170))</f>
        <v/>
      </c>
      <c r="J170" s="2" t="str">
        <f ca="1">IF(OR(F170="",G170="Complete"),"",IF(F170&lt;TODAY(),"Overdue",IF(F170-TODAY()&lt;=7,"Due soon","On track")))</f>
        <v/>
      </c>
      <c r="K170" s="2"/>
    </row>
    <row r="171" spans="1:11">
      <c r="A171" s="2"/>
      <c r="B171" s="2"/>
      <c r="C171" s="2"/>
      <c r="D171" s="2"/>
      <c r="E171" s="3"/>
      <c r="F171" s="3"/>
      <c r="G171" s="2"/>
      <c r="H171" s="2"/>
      <c r="I171" s="2" t="str">
        <f ca="1">IF(OR(F171="",G171="Complete"),"",MAX(0,TODAY()-F171))</f>
        <v/>
      </c>
      <c r="J171" s="2" t="str">
        <f ca="1">IF(OR(F171="",G171="Complete"),"",IF(F171&lt;TODAY(),"Overdue",IF(F171-TODAY()&lt;=7,"Due soon","On track")))</f>
        <v/>
      </c>
      <c r="K171" s="2"/>
    </row>
    <row r="172" spans="1:11">
      <c r="A172" s="2"/>
      <c r="B172" s="2"/>
      <c r="C172" s="2"/>
      <c r="D172" s="2"/>
      <c r="E172" s="3"/>
      <c r="F172" s="3"/>
      <c r="G172" s="2"/>
      <c r="H172" s="2"/>
      <c r="I172" s="2" t="str">
        <f ca="1">IF(OR(F172="",G172="Complete"),"",MAX(0,TODAY()-F172))</f>
        <v/>
      </c>
      <c r="J172" s="2" t="str">
        <f ca="1">IF(OR(F172="",G172="Complete"),"",IF(F172&lt;TODAY(),"Overdue",IF(F172-TODAY()&lt;=7,"Due soon","On track")))</f>
        <v/>
      </c>
      <c r="K172" s="2"/>
    </row>
    <row r="173" spans="1:11">
      <c r="A173" s="2"/>
      <c r="B173" s="2"/>
      <c r="C173" s="2"/>
      <c r="D173" s="2"/>
      <c r="E173" s="3"/>
      <c r="F173" s="3"/>
      <c r="G173" s="2"/>
      <c r="H173" s="2"/>
      <c r="I173" s="2" t="str">
        <f ca="1">IF(OR(F173="",G173="Complete"),"",MAX(0,TODAY()-F173))</f>
        <v/>
      </c>
      <c r="J173" s="2" t="str">
        <f ca="1">IF(OR(F173="",G173="Complete"),"",IF(F173&lt;TODAY(),"Overdue",IF(F173-TODAY()&lt;=7,"Due soon","On track")))</f>
        <v/>
      </c>
      <c r="K173" s="2"/>
    </row>
    <row r="174" spans="1:11">
      <c r="A174" s="2"/>
      <c r="B174" s="2"/>
      <c r="C174" s="2"/>
      <c r="D174" s="2"/>
      <c r="E174" s="3"/>
      <c r="F174" s="3"/>
      <c r="G174" s="2"/>
      <c r="H174" s="2"/>
      <c r="I174" s="2" t="str">
        <f ca="1">IF(OR(F174="",G174="Complete"),"",MAX(0,TODAY()-F174))</f>
        <v/>
      </c>
      <c r="J174" s="2" t="str">
        <f ca="1">IF(OR(F174="",G174="Complete"),"",IF(F174&lt;TODAY(),"Overdue",IF(F174-TODAY()&lt;=7,"Due soon","On track")))</f>
        <v/>
      </c>
      <c r="K174" s="2"/>
    </row>
    <row r="175" spans="1:11">
      <c r="A175" s="2"/>
      <c r="B175" s="2"/>
      <c r="C175" s="2"/>
      <c r="D175" s="2"/>
      <c r="E175" s="3"/>
      <c r="F175" s="3"/>
      <c r="G175" s="2"/>
      <c r="H175" s="2"/>
      <c r="I175" s="2" t="str">
        <f ca="1">IF(OR(F175="",G175="Complete"),"",MAX(0,TODAY()-F175))</f>
        <v/>
      </c>
      <c r="J175" s="2" t="str">
        <f ca="1">IF(OR(F175="",G175="Complete"),"",IF(F175&lt;TODAY(),"Overdue",IF(F175-TODAY()&lt;=7,"Due soon","On track")))</f>
        <v/>
      </c>
      <c r="K175" s="2"/>
    </row>
    <row r="176" spans="1:11">
      <c r="A176" s="2"/>
      <c r="B176" s="2"/>
      <c r="C176" s="2"/>
      <c r="D176" s="2"/>
      <c r="E176" s="3"/>
      <c r="F176" s="3"/>
      <c r="G176" s="2"/>
      <c r="H176" s="2"/>
      <c r="I176" s="2" t="str">
        <f ca="1">IF(OR(F176="",G176="Complete"),"",MAX(0,TODAY()-F176))</f>
        <v/>
      </c>
      <c r="J176" s="2" t="str">
        <f ca="1">IF(OR(F176="",G176="Complete"),"",IF(F176&lt;TODAY(),"Overdue",IF(F176-TODAY()&lt;=7,"Due soon","On track")))</f>
        <v/>
      </c>
      <c r="K176" s="2"/>
    </row>
    <row r="177" spans="1:11">
      <c r="A177" s="2"/>
      <c r="B177" s="2"/>
      <c r="C177" s="2"/>
      <c r="D177" s="2"/>
      <c r="E177" s="3"/>
      <c r="F177" s="3"/>
      <c r="G177" s="2"/>
      <c r="H177" s="2"/>
      <c r="I177" s="2" t="str">
        <f ca="1">IF(OR(F177="",G177="Complete"),"",MAX(0,TODAY()-F177))</f>
        <v/>
      </c>
      <c r="J177" s="2" t="str">
        <f ca="1">IF(OR(F177="",G177="Complete"),"",IF(F177&lt;TODAY(),"Overdue",IF(F177-TODAY()&lt;=7,"Due soon","On track")))</f>
        <v/>
      </c>
      <c r="K177" s="2"/>
    </row>
    <row r="178" spans="1:11">
      <c r="A178" s="2"/>
      <c r="B178" s="2"/>
      <c r="C178" s="2"/>
      <c r="D178" s="2"/>
      <c r="E178" s="3"/>
      <c r="F178" s="3"/>
      <c r="G178" s="2"/>
      <c r="H178" s="2"/>
      <c r="I178" s="2" t="str">
        <f ca="1">IF(OR(F178="",G178="Complete"),"",MAX(0,TODAY()-F178))</f>
        <v/>
      </c>
      <c r="J178" s="2" t="str">
        <f ca="1">IF(OR(F178="",G178="Complete"),"",IF(F178&lt;TODAY(),"Overdue",IF(F178-TODAY()&lt;=7,"Due soon","On track")))</f>
        <v/>
      </c>
      <c r="K178" s="2"/>
    </row>
    <row r="179" spans="1:11">
      <c r="A179" s="2"/>
      <c r="B179" s="2"/>
      <c r="C179" s="2"/>
      <c r="D179" s="2"/>
      <c r="E179" s="3"/>
      <c r="F179" s="3"/>
      <c r="G179" s="2"/>
      <c r="H179" s="2"/>
      <c r="I179" s="2" t="str">
        <f ca="1">IF(OR(F179="",G179="Complete"),"",MAX(0,TODAY()-F179))</f>
        <v/>
      </c>
      <c r="J179" s="2" t="str">
        <f ca="1">IF(OR(F179="",G179="Complete"),"",IF(F179&lt;TODAY(),"Overdue",IF(F179-TODAY()&lt;=7,"Due soon","On track")))</f>
        <v/>
      </c>
      <c r="K179" s="2"/>
    </row>
    <row r="180" spans="1:11">
      <c r="A180" s="2"/>
      <c r="B180" s="2"/>
      <c r="C180" s="2"/>
      <c r="D180" s="2"/>
      <c r="E180" s="3"/>
      <c r="F180" s="3"/>
      <c r="G180" s="2"/>
      <c r="H180" s="2"/>
      <c r="I180" s="2" t="str">
        <f ca="1">IF(OR(F180="",G180="Complete"),"",MAX(0,TODAY()-F180))</f>
        <v/>
      </c>
      <c r="J180" s="2" t="str">
        <f ca="1">IF(OR(F180="",G180="Complete"),"",IF(F180&lt;TODAY(),"Overdue",IF(F180-TODAY()&lt;=7,"Due soon","On track")))</f>
        <v/>
      </c>
      <c r="K180" s="2"/>
    </row>
    <row r="181" spans="1:11">
      <c r="A181" s="2"/>
      <c r="B181" s="2"/>
      <c r="C181" s="2"/>
      <c r="D181" s="2"/>
      <c r="E181" s="3"/>
      <c r="F181" s="3"/>
      <c r="G181" s="2"/>
      <c r="H181" s="2"/>
      <c r="I181" s="2" t="str">
        <f ca="1">IF(OR(F181="",G181="Complete"),"",MAX(0,TODAY()-F181))</f>
        <v/>
      </c>
      <c r="J181" s="2" t="str">
        <f ca="1">IF(OR(F181="",G181="Complete"),"",IF(F181&lt;TODAY(),"Overdue",IF(F181-TODAY()&lt;=7,"Due soon","On track")))</f>
        <v/>
      </c>
      <c r="K181" s="2"/>
    </row>
    <row r="182" spans="1:11">
      <c r="A182" s="2"/>
      <c r="B182" s="2"/>
      <c r="C182" s="2"/>
      <c r="D182" s="2"/>
      <c r="E182" s="3"/>
      <c r="F182" s="3"/>
      <c r="G182" s="2"/>
      <c r="H182" s="2"/>
      <c r="I182" s="2" t="str">
        <f ca="1">IF(OR(F182="",G182="Complete"),"",MAX(0,TODAY()-F182))</f>
        <v/>
      </c>
      <c r="J182" s="2" t="str">
        <f ca="1">IF(OR(F182="",G182="Complete"),"",IF(F182&lt;TODAY(),"Overdue",IF(F182-TODAY()&lt;=7,"Due soon","On track")))</f>
        <v/>
      </c>
      <c r="K182" s="2"/>
    </row>
    <row r="183" spans="1:11">
      <c r="A183" s="2"/>
      <c r="B183" s="2"/>
      <c r="C183" s="2"/>
      <c r="D183" s="2"/>
      <c r="E183" s="3"/>
      <c r="F183" s="3"/>
      <c r="G183" s="2"/>
      <c r="H183" s="2"/>
      <c r="I183" s="2" t="str">
        <f ca="1">IF(OR(F183="",G183="Complete"),"",MAX(0,TODAY()-F183))</f>
        <v/>
      </c>
      <c r="J183" s="2" t="str">
        <f ca="1">IF(OR(F183="",G183="Complete"),"",IF(F183&lt;TODAY(),"Overdue",IF(F183-TODAY()&lt;=7,"Due soon","On track")))</f>
        <v/>
      </c>
      <c r="K183" s="2"/>
    </row>
    <row r="184" spans="1:11">
      <c r="A184" s="2"/>
      <c r="B184" s="2"/>
      <c r="C184" s="2"/>
      <c r="D184" s="2"/>
      <c r="E184" s="3"/>
      <c r="F184" s="3"/>
      <c r="G184" s="2"/>
      <c r="H184" s="2"/>
      <c r="I184" s="2" t="str">
        <f ca="1">IF(OR(F184="",G184="Complete"),"",MAX(0,TODAY()-F184))</f>
        <v/>
      </c>
      <c r="J184" s="2" t="str">
        <f ca="1">IF(OR(F184="",G184="Complete"),"",IF(F184&lt;TODAY(),"Overdue",IF(F184-TODAY()&lt;=7,"Due soon","On track")))</f>
        <v/>
      </c>
      <c r="K184" s="2"/>
    </row>
    <row r="185" spans="1:11">
      <c r="A185" s="2"/>
      <c r="B185" s="2"/>
      <c r="C185" s="2"/>
      <c r="D185" s="2"/>
      <c r="E185" s="3"/>
      <c r="F185" s="3"/>
      <c r="G185" s="2"/>
      <c r="H185" s="2"/>
      <c r="I185" s="2" t="str">
        <f ca="1">IF(OR(F185="",G185="Complete"),"",MAX(0,TODAY()-F185))</f>
        <v/>
      </c>
      <c r="J185" s="2" t="str">
        <f ca="1">IF(OR(F185="",G185="Complete"),"",IF(F185&lt;TODAY(),"Overdue",IF(F185-TODAY()&lt;=7,"Due soon","On track")))</f>
        <v/>
      </c>
      <c r="K185" s="2"/>
    </row>
    <row r="186" spans="1:11">
      <c r="A186" s="2"/>
      <c r="B186" s="2"/>
      <c r="C186" s="2"/>
      <c r="D186" s="2"/>
      <c r="E186" s="3"/>
      <c r="F186" s="3"/>
      <c r="G186" s="2"/>
      <c r="H186" s="2"/>
      <c r="I186" s="2" t="str">
        <f ca="1">IF(OR(F186="",G186="Complete"),"",MAX(0,TODAY()-F186))</f>
        <v/>
      </c>
      <c r="J186" s="2" t="str">
        <f ca="1">IF(OR(F186="",G186="Complete"),"",IF(F186&lt;TODAY(),"Overdue",IF(F186-TODAY()&lt;=7,"Due soon","On track")))</f>
        <v/>
      </c>
      <c r="K186" s="2"/>
    </row>
    <row r="187" spans="1:11">
      <c r="A187" s="2"/>
      <c r="B187" s="2"/>
      <c r="C187" s="2"/>
      <c r="D187" s="2"/>
      <c r="E187" s="3"/>
      <c r="F187" s="3"/>
      <c r="G187" s="2"/>
      <c r="H187" s="2"/>
      <c r="I187" s="2" t="str">
        <f ca="1">IF(OR(F187="",G187="Complete"),"",MAX(0,TODAY()-F187))</f>
        <v/>
      </c>
      <c r="J187" s="2" t="str">
        <f ca="1">IF(OR(F187="",G187="Complete"),"",IF(F187&lt;TODAY(),"Overdue",IF(F187-TODAY()&lt;=7,"Due soon","On track")))</f>
        <v/>
      </c>
      <c r="K187" s="2"/>
    </row>
    <row r="188" spans="1:11">
      <c r="A188" s="2"/>
      <c r="B188" s="2"/>
      <c r="C188" s="2"/>
      <c r="D188" s="2"/>
      <c r="E188" s="3"/>
      <c r="F188" s="3"/>
      <c r="G188" s="2"/>
      <c r="H188" s="2"/>
      <c r="I188" s="2" t="str">
        <f ca="1">IF(OR(F188="",G188="Complete"),"",MAX(0,TODAY()-F188))</f>
        <v/>
      </c>
      <c r="J188" s="2" t="str">
        <f ca="1">IF(OR(F188="",G188="Complete"),"",IF(F188&lt;TODAY(),"Overdue",IF(F188-TODAY()&lt;=7,"Due soon","On track")))</f>
        <v/>
      </c>
      <c r="K188" s="2"/>
    </row>
    <row r="189" spans="1:11">
      <c r="A189" s="2"/>
      <c r="B189" s="2"/>
      <c r="C189" s="2"/>
      <c r="D189" s="2"/>
      <c r="E189" s="3"/>
      <c r="F189" s="3"/>
      <c r="G189" s="2"/>
      <c r="H189" s="2"/>
      <c r="I189" s="2" t="str">
        <f ca="1">IF(OR(F189="",G189="Complete"),"",MAX(0,TODAY()-F189))</f>
        <v/>
      </c>
      <c r="J189" s="2" t="str">
        <f ca="1">IF(OR(F189="",G189="Complete"),"",IF(F189&lt;TODAY(),"Overdue",IF(F189-TODAY()&lt;=7,"Due soon","On track")))</f>
        <v/>
      </c>
      <c r="K189" s="2"/>
    </row>
    <row r="190" spans="1:11">
      <c r="A190" s="2"/>
      <c r="B190" s="2"/>
      <c r="C190" s="2"/>
      <c r="D190" s="2"/>
      <c r="E190" s="3"/>
      <c r="F190" s="3"/>
      <c r="G190" s="2"/>
      <c r="H190" s="2"/>
      <c r="I190" s="2" t="str">
        <f ca="1">IF(OR(F190="",G190="Complete"),"",MAX(0,TODAY()-F190))</f>
        <v/>
      </c>
      <c r="J190" s="2" t="str">
        <f ca="1">IF(OR(F190="",G190="Complete"),"",IF(F190&lt;TODAY(),"Overdue",IF(F190-TODAY()&lt;=7,"Due soon","On track")))</f>
        <v/>
      </c>
      <c r="K190" s="2"/>
    </row>
    <row r="191" spans="1:11">
      <c r="A191" s="2"/>
      <c r="B191" s="2"/>
      <c r="C191" s="2"/>
      <c r="D191" s="2"/>
      <c r="E191" s="3"/>
      <c r="F191" s="3"/>
      <c r="G191" s="2"/>
      <c r="H191" s="2"/>
      <c r="I191" s="2" t="str">
        <f ca="1">IF(OR(F191="",G191="Complete"),"",MAX(0,TODAY()-F191))</f>
        <v/>
      </c>
      <c r="J191" s="2" t="str">
        <f ca="1">IF(OR(F191="",G191="Complete"),"",IF(F191&lt;TODAY(),"Overdue",IF(F191-TODAY()&lt;=7,"Due soon","On track")))</f>
        <v/>
      </c>
      <c r="K191" s="2"/>
    </row>
    <row r="192" spans="1:11">
      <c r="A192" s="2"/>
      <c r="B192" s="2"/>
      <c r="C192" s="2"/>
      <c r="D192" s="2"/>
      <c r="E192" s="3"/>
      <c r="F192" s="3"/>
      <c r="G192" s="2"/>
      <c r="H192" s="2"/>
      <c r="I192" s="2" t="str">
        <f ca="1">IF(OR(F192="",G192="Complete"),"",MAX(0,TODAY()-F192))</f>
        <v/>
      </c>
      <c r="J192" s="2" t="str">
        <f ca="1">IF(OR(F192="",G192="Complete"),"",IF(F192&lt;TODAY(),"Overdue",IF(F192-TODAY()&lt;=7,"Due soon","On track")))</f>
        <v/>
      </c>
      <c r="K192" s="2"/>
    </row>
    <row r="193" spans="1:11">
      <c r="A193" s="2"/>
      <c r="B193" s="2"/>
      <c r="C193" s="2"/>
      <c r="D193" s="2"/>
      <c r="E193" s="3"/>
      <c r="F193" s="3"/>
      <c r="G193" s="2"/>
      <c r="H193" s="2"/>
      <c r="I193" s="2" t="str">
        <f ca="1">IF(OR(F193="",G193="Complete"),"",MAX(0,TODAY()-F193))</f>
        <v/>
      </c>
      <c r="J193" s="2" t="str">
        <f ca="1">IF(OR(F193="",G193="Complete"),"",IF(F193&lt;TODAY(),"Overdue",IF(F193-TODAY()&lt;=7,"Due soon","On track")))</f>
        <v/>
      </c>
      <c r="K193" s="2"/>
    </row>
    <row r="194" spans="1:11">
      <c r="A194" s="2"/>
      <c r="B194" s="2"/>
      <c r="C194" s="2"/>
      <c r="D194" s="2"/>
      <c r="E194" s="3"/>
      <c r="F194" s="3"/>
      <c r="G194" s="2"/>
      <c r="H194" s="2"/>
      <c r="I194" s="2" t="str">
        <f ca="1">IF(OR(F194="",G194="Complete"),"",MAX(0,TODAY()-F194))</f>
        <v/>
      </c>
      <c r="J194" s="2" t="str">
        <f ca="1">IF(OR(F194="",G194="Complete"),"",IF(F194&lt;TODAY(),"Overdue",IF(F194-TODAY()&lt;=7,"Due soon","On track")))</f>
        <v/>
      </c>
      <c r="K194" s="2"/>
    </row>
    <row r="195" spans="1:11">
      <c r="A195" s="2"/>
      <c r="B195" s="2"/>
      <c r="C195" s="2"/>
      <c r="D195" s="2"/>
      <c r="E195" s="3"/>
      <c r="F195" s="3"/>
      <c r="G195" s="2"/>
      <c r="H195" s="2"/>
      <c r="I195" s="2" t="str">
        <f ca="1">IF(OR(F195="",G195="Complete"),"",MAX(0,TODAY()-F195))</f>
        <v/>
      </c>
      <c r="J195" s="2" t="str">
        <f ca="1">IF(OR(F195="",G195="Complete"),"",IF(F195&lt;TODAY(),"Overdue",IF(F195-TODAY()&lt;=7,"Due soon","On track")))</f>
        <v/>
      </c>
      <c r="K195" s="2"/>
    </row>
    <row r="196" spans="1:11">
      <c r="A196" s="2"/>
      <c r="B196" s="2"/>
      <c r="C196" s="2"/>
      <c r="D196" s="2"/>
      <c r="E196" s="3"/>
      <c r="F196" s="3"/>
      <c r="G196" s="2"/>
      <c r="H196" s="2"/>
      <c r="I196" s="2" t="str">
        <f ca="1">IF(OR(F196="",G196="Complete"),"",MAX(0,TODAY()-F196))</f>
        <v/>
      </c>
      <c r="J196" s="2" t="str">
        <f ca="1">IF(OR(F196="",G196="Complete"),"",IF(F196&lt;TODAY(),"Overdue",IF(F196-TODAY()&lt;=7,"Due soon","On track")))</f>
        <v/>
      </c>
      <c r="K196" s="2"/>
    </row>
    <row r="197" spans="1:11">
      <c r="A197" s="2"/>
      <c r="B197" s="2"/>
      <c r="C197" s="2"/>
      <c r="D197" s="2"/>
      <c r="E197" s="3"/>
      <c r="F197" s="3"/>
      <c r="G197" s="2"/>
      <c r="H197" s="2"/>
      <c r="I197" s="2" t="str">
        <f ca="1">IF(OR(F197="",G197="Complete"),"",MAX(0,TODAY()-F197))</f>
        <v/>
      </c>
      <c r="J197" s="2" t="str">
        <f ca="1">IF(OR(F197="",G197="Complete"),"",IF(F197&lt;TODAY(),"Overdue",IF(F197-TODAY()&lt;=7,"Due soon","On track")))</f>
        <v/>
      </c>
      <c r="K197" s="2"/>
    </row>
    <row r="198" spans="1:11">
      <c r="A198" s="2"/>
      <c r="B198" s="2"/>
      <c r="C198" s="2"/>
      <c r="D198" s="2"/>
      <c r="E198" s="3"/>
      <c r="F198" s="3"/>
      <c r="G198" s="2"/>
      <c r="H198" s="2"/>
      <c r="I198" s="2" t="str">
        <f ca="1">IF(OR(F198="",G198="Complete"),"",MAX(0,TODAY()-F198))</f>
        <v/>
      </c>
      <c r="J198" s="2" t="str">
        <f ca="1">IF(OR(F198="",G198="Complete"),"",IF(F198&lt;TODAY(),"Overdue",IF(F198-TODAY()&lt;=7,"Due soon","On track")))</f>
        <v/>
      </c>
      <c r="K198" s="2"/>
    </row>
    <row r="199" spans="1:11">
      <c r="A199" s="2"/>
      <c r="B199" s="2"/>
      <c r="C199" s="2"/>
      <c r="D199" s="2"/>
      <c r="E199" s="3"/>
      <c r="F199" s="3"/>
      <c r="G199" s="2"/>
      <c r="H199" s="2"/>
      <c r="I199" s="2" t="str">
        <f ca="1">IF(OR(F199="",G199="Complete"),"",MAX(0,TODAY()-F199))</f>
        <v/>
      </c>
      <c r="J199" s="2" t="str">
        <f ca="1">IF(OR(F199="",G199="Complete"),"",IF(F199&lt;TODAY(),"Overdue",IF(F199-TODAY()&lt;=7,"Due soon","On track")))</f>
        <v/>
      </c>
      <c r="K199" s="2"/>
    </row>
    <row r="200" spans="1:11">
      <c r="A200" s="2"/>
      <c r="B200" s="2"/>
      <c r="C200" s="2"/>
      <c r="D200" s="2"/>
      <c r="E200" s="3"/>
      <c r="F200" s="3"/>
      <c r="G200" s="2"/>
      <c r="H200" s="2"/>
      <c r="I200" s="2" t="str">
        <f ca="1">IF(OR(F200="",G200="Complete"),"",MAX(0,TODAY()-F200))</f>
        <v/>
      </c>
      <c r="J200" s="2" t="str">
        <f ca="1">IF(OR(F200="",G200="Complete"),"",IF(F200&lt;TODAY(),"Overdue",IF(F200-TODAY()&lt;=7,"Due soon","On track")))</f>
        <v/>
      </c>
      <c r="K200" s="2"/>
    </row>
    <row r="201" spans="1:11">
      <c r="A201" s="2"/>
      <c r="B201" s="2"/>
      <c r="C201" s="2"/>
      <c r="D201" s="2"/>
      <c r="E201" s="3"/>
      <c r="F201" s="3"/>
      <c r="G201" s="2"/>
      <c r="H201" s="2"/>
      <c r="I201" s="2" t="str">
        <f ca="1">IF(OR(F201="",G201="Complete"),"",MAX(0,TODAY()-F201))</f>
        <v/>
      </c>
      <c r="J201" s="2" t="str">
        <f ca="1">IF(OR(F201="",G201="Complete"),"",IF(F201&lt;TODAY(),"Overdue",IF(F201-TODAY()&lt;=7,"Due soon","On track")))</f>
        <v/>
      </c>
      <c r="K201" s="2"/>
    </row>
    <row r="202" spans="1:11">
      <c r="A202" s="2"/>
      <c r="B202" s="2"/>
      <c r="C202" s="2"/>
      <c r="D202" s="2"/>
      <c r="E202" s="3"/>
      <c r="F202" s="3"/>
      <c r="G202" s="2"/>
      <c r="H202" s="2"/>
      <c r="I202" s="2" t="str">
        <f ca="1">IF(OR(F202="",G202="Complete"),"",MAX(0,TODAY()-F202))</f>
        <v/>
      </c>
      <c r="J202" s="2" t="str">
        <f ca="1">IF(OR(F202="",G202="Complete"),"",IF(F202&lt;TODAY(),"Overdue",IF(F202-TODAY()&lt;=7,"Due soon","On track")))</f>
        <v/>
      </c>
      <c r="K202" s="2"/>
    </row>
    <row r="203" spans="1:11">
      <c r="A203" s="2"/>
      <c r="B203" s="2"/>
      <c r="C203" s="2"/>
      <c r="D203" s="2"/>
      <c r="E203" s="3"/>
      <c r="F203" s="3"/>
      <c r="G203" s="2"/>
      <c r="H203" s="2"/>
      <c r="I203" s="2" t="str">
        <f ca="1">IF(OR(F203="",G203="Complete"),"",MAX(0,TODAY()-F203))</f>
        <v/>
      </c>
      <c r="J203" s="2" t="str">
        <f ca="1">IF(OR(F203="",G203="Complete"),"",IF(F203&lt;TODAY(),"Overdue",IF(F203-TODAY()&lt;=7,"Due soon","On track")))</f>
        <v/>
      </c>
      <c r="K203" s="2"/>
    </row>
    <row r="204" spans="1:11">
      <c r="A204" s="2"/>
      <c r="B204" s="2"/>
      <c r="C204" s="2"/>
      <c r="D204" s="2"/>
      <c r="E204" s="3"/>
      <c r="F204" s="3"/>
      <c r="G204" s="2"/>
      <c r="H204" s="2"/>
      <c r="I204" s="2" t="str">
        <f ca="1">IF(OR(F204="",G204="Complete"),"",MAX(0,TODAY()-F204))</f>
        <v/>
      </c>
      <c r="J204" s="2" t="str">
        <f ca="1">IF(OR(F204="",G204="Complete"),"",IF(F204&lt;TODAY(),"Overdue",IF(F204-TODAY()&lt;=7,"Due soon","On track")))</f>
        <v/>
      </c>
      <c r="K204" s="2"/>
    </row>
    <row r="205" spans="1:11">
      <c r="A205" s="2"/>
      <c r="B205" s="2"/>
      <c r="C205" s="2"/>
      <c r="D205" s="2"/>
      <c r="E205" s="3"/>
      <c r="F205" s="3"/>
      <c r="G205" s="2"/>
      <c r="H205" s="2"/>
      <c r="I205" s="2" t="str">
        <f ca="1">IF(OR(F205="",G205="Complete"),"",MAX(0,TODAY()-F205))</f>
        <v/>
      </c>
      <c r="J205" s="2" t="str">
        <f ca="1">IF(OR(F205="",G205="Complete"),"",IF(F205&lt;TODAY(),"Overdue",IF(F205-TODAY()&lt;=7,"Due soon","On track")))</f>
        <v/>
      </c>
      <c r="K205" s="2"/>
    </row>
    <row r="206" spans="1:11">
      <c r="A206" s="2"/>
      <c r="B206" s="2"/>
      <c r="C206" s="2"/>
      <c r="D206" s="2"/>
      <c r="E206" s="3"/>
      <c r="F206" s="3"/>
      <c r="G206" s="2"/>
      <c r="H206" s="2"/>
      <c r="I206" s="2" t="str">
        <f ca="1">IF(OR(F206="",G206="Complete"),"",MAX(0,TODAY()-F206))</f>
        <v/>
      </c>
      <c r="J206" s="2" t="str">
        <f ca="1">IF(OR(F206="",G206="Complete"),"",IF(F206&lt;TODAY(),"Overdue",IF(F206-TODAY()&lt;=7,"Due soon","On track")))</f>
        <v/>
      </c>
      <c r="K206" s="2"/>
    </row>
    <row r="207" spans="1:11">
      <c r="A207" s="2"/>
      <c r="B207" s="2"/>
      <c r="C207" s="2"/>
      <c r="D207" s="2"/>
      <c r="E207" s="3"/>
      <c r="F207" s="3"/>
      <c r="G207" s="2"/>
      <c r="H207" s="2"/>
      <c r="I207" s="2" t="str">
        <f ca="1">IF(OR(F207="",G207="Complete"),"",MAX(0,TODAY()-F207))</f>
        <v/>
      </c>
      <c r="J207" s="2" t="str">
        <f ca="1">IF(OR(F207="",G207="Complete"),"",IF(F207&lt;TODAY(),"Overdue",IF(F207-TODAY()&lt;=7,"Due soon","On track")))</f>
        <v/>
      </c>
      <c r="K207" s="2"/>
    </row>
    <row r="208" spans="1:11">
      <c r="A208" s="2"/>
      <c r="B208" s="2"/>
      <c r="C208" s="2"/>
      <c r="D208" s="2"/>
      <c r="E208" s="3"/>
      <c r="F208" s="3"/>
      <c r="G208" s="2"/>
      <c r="H208" s="2"/>
      <c r="I208" s="2" t="str">
        <f ca="1">IF(OR(F208="",G208="Complete"),"",MAX(0,TODAY()-F208))</f>
        <v/>
      </c>
      <c r="J208" s="2" t="str">
        <f ca="1">IF(OR(F208="",G208="Complete"),"",IF(F208&lt;TODAY(),"Overdue",IF(F208-TODAY()&lt;=7,"Due soon","On track")))</f>
        <v/>
      </c>
      <c r="K208" s="2"/>
    </row>
    <row r="209" spans="1:11">
      <c r="A209" s="2"/>
      <c r="B209" s="2"/>
      <c r="C209" s="2"/>
      <c r="D209" s="2"/>
      <c r="E209" s="3"/>
      <c r="F209" s="3"/>
      <c r="G209" s="2"/>
      <c r="H209" s="2"/>
      <c r="I209" s="2" t="str">
        <f ca="1">IF(OR(F209="",G209="Complete"),"",MAX(0,TODAY()-F209))</f>
        <v/>
      </c>
      <c r="J209" s="2" t="str">
        <f ca="1">IF(OR(F209="",G209="Complete"),"",IF(F209&lt;TODAY(),"Overdue",IF(F209-TODAY()&lt;=7,"Due soon","On track")))</f>
        <v/>
      </c>
      <c r="K209" s="2"/>
    </row>
    <row r="210" spans="1:11">
      <c r="A210" s="2"/>
      <c r="B210" s="2"/>
      <c r="C210" s="2"/>
      <c r="D210" s="2"/>
      <c r="E210" s="3"/>
      <c r="F210" s="3"/>
      <c r="G210" s="2"/>
      <c r="H210" s="2"/>
      <c r="I210" s="2" t="str">
        <f ca="1">IF(OR(F210="",G210="Complete"),"",MAX(0,TODAY()-F210))</f>
        <v/>
      </c>
      <c r="J210" s="2" t="str">
        <f ca="1">IF(OR(F210="",G210="Complete"),"",IF(F210&lt;TODAY(),"Overdue",IF(F210-TODAY()&lt;=7,"Due soon","On track")))</f>
        <v/>
      </c>
      <c r="K210" s="2"/>
    </row>
  </sheetData>
  <autoFilter ref="A10:K210" xr:uid="{00000000-0009-0000-0000-000001000000}"/>
  <mergeCells count="12">
    <mergeCell ref="A1:K1"/>
    <mergeCell ref="A8:K8"/>
    <mergeCell ref="A7:K7"/>
    <mergeCell ref="A5:B5"/>
    <mergeCell ref="A2:K2"/>
    <mergeCell ref="C4:E4"/>
    <mergeCell ref="F5:I5"/>
    <mergeCell ref="A4:B4"/>
    <mergeCell ref="J4:K4"/>
    <mergeCell ref="C5:E5"/>
    <mergeCell ref="J5:K5"/>
    <mergeCell ref="F4:I4"/>
  </mergeCells>
  <conditionalFormatting sqref="G11:G210">
    <cfRule type="cellIs" dxfId="59" priority="1" operator="equal">
      <formula>"Not started"</formula>
    </cfRule>
    <cfRule type="cellIs" dxfId="58" priority="2" operator="equal">
      <formula>"In progress"</formula>
    </cfRule>
    <cfRule type="cellIs" dxfId="57" priority="3" operator="equal">
      <formula>"In review"</formula>
    </cfRule>
    <cfRule type="cellIs" dxfId="56" priority="4" operator="equal">
      <formula>"On hold"</formula>
    </cfRule>
    <cfRule type="cellIs" dxfId="55" priority="5" operator="equal">
      <formula>"Complete"</formula>
    </cfRule>
  </conditionalFormatting>
  <conditionalFormatting sqref="J11:J210">
    <cfRule type="cellIs" dxfId="54" priority="6" operator="equal">
      <formula>"Overdue"</formula>
    </cfRule>
    <cfRule type="cellIs" dxfId="53" priority="7" operator="equal">
      <formula>"Due soon"</formula>
    </cfRule>
    <cfRule type="cellIs" dxfId="52" priority="8" operator="equal">
      <formula>"On track"</formula>
    </cfRule>
  </conditionalFormatting>
  <conditionalFormatting sqref="A11:K210">
    <cfRule type="expression" dxfId="51" priority="9">
      <formula>MOD(ROW(),2)=0</formula>
    </cfRule>
  </conditionalFormatting>
  <conditionalFormatting sqref="C5">
    <cfRule type="cellIs" dxfId="50" priority="10" operator="greaterThan">
      <formula>0</formula>
    </cfRule>
  </conditionalFormatting>
  <conditionalFormatting sqref="F5">
    <cfRule type="cellIs" dxfId="49" priority="11" operator="greaterThan">
      <formula>0</formula>
    </cfRule>
  </conditionalFormatting>
  <dataValidations count="1">
    <dataValidation type="list" allowBlank="1" sqref="G11:G210" xr:uid="{00000000-0002-0000-0100-000000000000}">
      <formula1>"Not started,In progress,In review,On hold,Complete"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338CA"/>
  </sheetPr>
  <dimension ref="A1:L210"/>
  <sheetViews>
    <sheetView showGridLines="0" workbookViewId="0"/>
  </sheetViews>
  <sheetFormatPr defaultRowHeight="15"/>
  <cols>
    <col min="1" max="1" width="28" customWidth="1"/>
    <col min="2" max="3" width="24" customWidth="1"/>
    <col min="4" max="4" width="18" customWidth="1"/>
    <col min="5" max="5" width="16" customWidth="1"/>
    <col min="6" max="6" width="14" customWidth="1"/>
    <col min="7" max="7" width="18" customWidth="1"/>
    <col min="8" max="8" width="16" customWidth="1"/>
    <col min="9" max="9" width="18" customWidth="1"/>
    <col min="10" max="10" width="14" customWidth="1"/>
    <col min="11" max="11" width="20" customWidth="1"/>
    <col min="12" max="12" width="34" customWidth="1"/>
  </cols>
  <sheetData>
    <row r="1" spans="1:12" ht="36" customHeight="1">
      <c r="A1" s="4" t="s">
        <v>164</v>
      </c>
      <c r="B1" s="13"/>
      <c r="C1" s="13"/>
      <c r="D1" s="13"/>
      <c r="E1" s="13"/>
      <c r="F1" s="13"/>
      <c r="G1" s="13"/>
      <c r="H1" s="13"/>
      <c r="I1" s="13"/>
      <c r="J1" s="13"/>
      <c r="K1" s="13"/>
      <c r="L1" s="13"/>
    </row>
    <row r="2" spans="1:12" ht="24" customHeight="1">
      <c r="A2" s="9" t="s">
        <v>165</v>
      </c>
      <c r="B2" s="14"/>
      <c r="C2" s="14"/>
      <c r="D2" s="14"/>
      <c r="E2" s="14"/>
      <c r="F2" s="14"/>
      <c r="G2" s="14"/>
      <c r="H2" s="14"/>
      <c r="I2" s="14"/>
      <c r="J2" s="14"/>
      <c r="K2" s="14"/>
      <c r="L2" s="14"/>
    </row>
    <row r="3" spans="1:12" ht="8.1" customHeight="1"/>
    <row r="4" spans="1:12" ht="20.100000000000001" customHeight="1">
      <c r="A4" s="6" t="s">
        <v>166</v>
      </c>
      <c r="B4" s="15"/>
      <c r="C4" s="6" t="s">
        <v>86</v>
      </c>
      <c r="D4" s="15"/>
      <c r="E4" s="15"/>
      <c r="F4" s="15"/>
      <c r="G4" s="6" t="s">
        <v>167</v>
      </c>
      <c r="H4" s="15"/>
      <c r="I4" s="15"/>
      <c r="J4" s="6" t="s">
        <v>168</v>
      </c>
      <c r="K4" s="15"/>
      <c r="L4" s="15"/>
    </row>
    <row r="5" spans="1:12" ht="33.950000000000003" customHeight="1">
      <c r="A5" s="5">
        <f>COUNTA($A$11:$A$210)-COUNTIF($E$11:$E$210,"Approved")</f>
        <v>21</v>
      </c>
      <c r="B5" s="15"/>
      <c r="C5" s="5">
        <f ca="1">COUNTIF($K$11:$K$210,"Overdue")</f>
        <v>4</v>
      </c>
      <c r="D5" s="15"/>
      <c r="E5" s="15"/>
      <c r="F5" s="15"/>
      <c r="G5" s="5">
        <f ca="1">COUNTIF($K$11:$K$210,"Waiting on client")</f>
        <v>3</v>
      </c>
      <c r="H5" s="15"/>
      <c r="I5" s="15"/>
      <c r="J5" s="5">
        <f>COUNTIF($E$11:$E$210,"Approved")</f>
        <v>9</v>
      </c>
      <c r="K5" s="15"/>
      <c r="L5" s="15"/>
    </row>
    <row r="6" spans="1:12" ht="9.9499999999999993" customHeight="1"/>
    <row r="7" spans="1:12" ht="21.95" customHeight="1">
      <c r="A7" s="8" t="s">
        <v>6</v>
      </c>
      <c r="B7" s="16"/>
      <c r="C7" s="16"/>
      <c r="D7" s="16"/>
      <c r="E7" s="16"/>
      <c r="F7" s="16"/>
      <c r="G7" s="16"/>
      <c r="H7" s="16"/>
      <c r="I7" s="16"/>
      <c r="J7" s="16"/>
      <c r="K7" s="16"/>
      <c r="L7" s="16"/>
    </row>
    <row r="8" spans="1:12" ht="66" customHeight="1">
      <c r="A8" s="7" t="s">
        <v>169</v>
      </c>
      <c r="B8" s="14"/>
      <c r="C8" s="14"/>
      <c r="D8" s="14"/>
      <c r="E8" s="14"/>
      <c r="F8" s="14"/>
      <c r="G8" s="14"/>
      <c r="H8" s="14"/>
      <c r="I8" s="14"/>
      <c r="J8" s="14"/>
      <c r="K8" s="14"/>
      <c r="L8" s="14"/>
    </row>
    <row r="9" spans="1:12" ht="12" customHeight="1"/>
    <row r="10" spans="1:12" ht="32.1" customHeight="1">
      <c r="A10" s="1" t="s">
        <v>170</v>
      </c>
      <c r="B10" s="1" t="s">
        <v>90</v>
      </c>
      <c r="C10" s="1" t="s">
        <v>8</v>
      </c>
      <c r="D10" s="1" t="s">
        <v>10</v>
      </c>
      <c r="E10" s="1" t="s">
        <v>171</v>
      </c>
      <c r="F10" s="1" t="s">
        <v>172</v>
      </c>
      <c r="G10" s="1" t="s">
        <v>173</v>
      </c>
      <c r="H10" s="1" t="s">
        <v>174</v>
      </c>
      <c r="I10" s="1" t="s">
        <v>175</v>
      </c>
      <c r="J10" s="1" t="s">
        <v>95</v>
      </c>
      <c r="K10" s="1" t="s">
        <v>176</v>
      </c>
      <c r="L10" s="1" t="s">
        <v>16</v>
      </c>
    </row>
    <row r="11" spans="1:12">
      <c r="A11" s="2" t="s">
        <v>177</v>
      </c>
      <c r="B11" s="2" t="s">
        <v>98</v>
      </c>
      <c r="C11" s="2" t="s">
        <v>17</v>
      </c>
      <c r="D11" s="2" t="s">
        <v>19</v>
      </c>
      <c r="E11" s="2" t="s">
        <v>168</v>
      </c>
      <c r="F11" s="3">
        <v>46277</v>
      </c>
      <c r="G11" s="3">
        <v>46273</v>
      </c>
      <c r="H11" s="3">
        <v>46276</v>
      </c>
      <c r="I11" s="2" t="s">
        <v>178</v>
      </c>
      <c r="J11" s="2" t="str">
        <f ca="1">IF(OR(F11="",E11="Approved"),"",MAX(0,TODAY()-F11))</f>
        <v/>
      </c>
      <c r="K11" s="2" t="str">
        <f ca="1">IF(E11="","",IF(E11="Approved","Done",IF(AND(F11&lt;&gt;"",F11&lt;TODAY()),"Overdue",IF(E11="Sent to client","Waiting on client","On track"))))</f>
        <v>Done</v>
      </c>
      <c r="L11" s="2" t="s">
        <v>179</v>
      </c>
    </row>
    <row r="12" spans="1:12">
      <c r="A12" s="2" t="s">
        <v>180</v>
      </c>
      <c r="B12" s="2" t="s">
        <v>98</v>
      </c>
      <c r="C12" s="2" t="s">
        <v>17</v>
      </c>
      <c r="D12" s="2" t="s">
        <v>19</v>
      </c>
      <c r="E12" s="2" t="s">
        <v>181</v>
      </c>
      <c r="F12" s="3">
        <v>46315</v>
      </c>
      <c r="G12" s="3">
        <v>46304</v>
      </c>
      <c r="H12" s="3"/>
      <c r="I12" s="2" t="s">
        <v>178</v>
      </c>
      <c r="J12" s="2">
        <f ca="1">IF(OR(F12="",E12="Approved"),"",MAX(0,TODAY()-F12))</f>
        <v>0</v>
      </c>
      <c r="K12" s="2" t="str">
        <f ca="1">IF(E12="","",IF(E12="Approved","Done",IF(AND(F12&lt;&gt;"",F12&lt;TODAY()),"Overdue",IF(E12="Sent to client","Waiting on client","On track"))))</f>
        <v>Waiting on client</v>
      </c>
      <c r="L12" s="2" t="s">
        <v>182</v>
      </c>
    </row>
    <row r="13" spans="1:12">
      <c r="A13" s="2" t="s">
        <v>183</v>
      </c>
      <c r="B13" s="2" t="s">
        <v>98</v>
      </c>
      <c r="C13" s="2" t="s">
        <v>17</v>
      </c>
      <c r="D13" s="2" t="s">
        <v>19</v>
      </c>
      <c r="E13" s="2" t="s">
        <v>184</v>
      </c>
      <c r="F13" s="3">
        <v>46339</v>
      </c>
      <c r="G13" s="3"/>
      <c r="H13" s="3"/>
      <c r="I13" s="2" t="s">
        <v>178</v>
      </c>
      <c r="J13" s="2">
        <f ca="1">IF(OR(F13="",E13="Approved"),"",MAX(0,TODAY()-F13))</f>
        <v>0</v>
      </c>
      <c r="K13" s="2" t="str">
        <f ca="1">IF(E13="","",IF(E13="Approved","Done",IF(AND(F13&lt;&gt;"",F13&lt;TODAY()),"Overdue",IF(E13="Sent to client","Waiting on client","On track"))))</f>
        <v>On track</v>
      </c>
      <c r="L13" s="2" t="s">
        <v>185</v>
      </c>
    </row>
    <row r="14" spans="1:12">
      <c r="A14" s="2" t="s">
        <v>186</v>
      </c>
      <c r="B14" s="2" t="s">
        <v>101</v>
      </c>
      <c r="C14" s="2" t="s">
        <v>17</v>
      </c>
      <c r="D14" s="2" t="s">
        <v>19</v>
      </c>
      <c r="E14" s="2" t="s">
        <v>187</v>
      </c>
      <c r="F14" s="3">
        <v>46311</v>
      </c>
      <c r="G14" s="3">
        <v>46301</v>
      </c>
      <c r="H14" s="3"/>
      <c r="I14" s="2" t="s">
        <v>178</v>
      </c>
      <c r="J14" s="2">
        <f ca="1">IF(OR(F14="",E14="Approved"),"",MAX(0,TODAY()-F14))</f>
        <v>0</v>
      </c>
      <c r="K14" s="2" t="str">
        <f ca="1">IF(E14="","",IF(E14="Approved","Done",IF(AND(F14&lt;&gt;"",F14&lt;TODAY()),"Overdue",IF(E14="Sent to client","Waiting on client","On track"))))</f>
        <v>On track</v>
      </c>
      <c r="L14" s="2" t="s">
        <v>188</v>
      </c>
    </row>
    <row r="15" spans="1:12">
      <c r="A15" s="2" t="s">
        <v>189</v>
      </c>
      <c r="B15" s="2" t="s">
        <v>101</v>
      </c>
      <c r="C15" s="2" t="s">
        <v>17</v>
      </c>
      <c r="D15" s="2" t="s">
        <v>19</v>
      </c>
      <c r="E15" s="2" t="s">
        <v>190</v>
      </c>
      <c r="F15" s="3">
        <v>46312</v>
      </c>
      <c r="G15" s="3"/>
      <c r="H15" s="3"/>
      <c r="I15" s="2" t="s">
        <v>178</v>
      </c>
      <c r="J15" s="2">
        <f ca="1">IF(OR(F15="",E15="Approved"),"",MAX(0,TODAY()-F15))</f>
        <v>0</v>
      </c>
      <c r="K15" s="2" t="str">
        <f ca="1">IF(E15="","",IF(E15="Approved","Done",IF(AND(F15&lt;&gt;"",F15&lt;TODAY()),"Overdue",IF(E15="Sent to client","Waiting on client","On track"))))</f>
        <v>On track</v>
      </c>
      <c r="L15" s="2"/>
    </row>
    <row r="16" spans="1:12">
      <c r="A16" s="2" t="s">
        <v>191</v>
      </c>
      <c r="B16" s="2" t="s">
        <v>104</v>
      </c>
      <c r="C16" s="2" t="s">
        <v>23</v>
      </c>
      <c r="D16" s="2" t="s">
        <v>24</v>
      </c>
      <c r="E16" s="2" t="s">
        <v>168</v>
      </c>
      <c r="F16" s="3">
        <v>46249</v>
      </c>
      <c r="G16" s="3">
        <v>46244</v>
      </c>
      <c r="H16" s="3">
        <v>46248</v>
      </c>
      <c r="I16" s="2" t="s">
        <v>192</v>
      </c>
      <c r="J16" s="2" t="str">
        <f ca="1">IF(OR(F16="",E16="Approved"),"",MAX(0,TODAY()-F16))</f>
        <v/>
      </c>
      <c r="K16" s="2" t="str">
        <f ca="1">IF(E16="","",IF(E16="Approved","Done",IF(AND(F16&lt;&gt;"",F16&lt;TODAY()),"Overdue",IF(E16="Sent to client","Waiting on client","On track"))))</f>
        <v>Done</v>
      </c>
      <c r="L16" s="2"/>
    </row>
    <row r="17" spans="1:12">
      <c r="A17" s="2" t="s">
        <v>193</v>
      </c>
      <c r="B17" s="2" t="s">
        <v>104</v>
      </c>
      <c r="C17" s="2" t="s">
        <v>23</v>
      </c>
      <c r="D17" s="2" t="s">
        <v>24</v>
      </c>
      <c r="E17" s="2" t="s">
        <v>168</v>
      </c>
      <c r="F17" s="3">
        <v>46290</v>
      </c>
      <c r="G17" s="3">
        <v>46283</v>
      </c>
      <c r="H17" s="3">
        <v>46289</v>
      </c>
      <c r="I17" s="2" t="s">
        <v>192</v>
      </c>
      <c r="J17" s="2" t="str">
        <f ca="1">IF(OR(F17="",E17="Approved"),"",MAX(0,TODAY()-F17))</f>
        <v/>
      </c>
      <c r="K17" s="2" t="str">
        <f ca="1">IF(E17="","",IF(E17="Approved","Done",IF(AND(F17&lt;&gt;"",F17&lt;TODAY()),"Overdue",IF(E17="Sent to client","Waiting on client","On track"))))</f>
        <v>Done</v>
      </c>
      <c r="L17" s="2" t="s">
        <v>194</v>
      </c>
    </row>
    <row r="18" spans="1:12">
      <c r="A18" s="2" t="s">
        <v>107</v>
      </c>
      <c r="B18" s="2" t="s">
        <v>106</v>
      </c>
      <c r="C18" s="2" t="s">
        <v>23</v>
      </c>
      <c r="D18" s="2" t="s">
        <v>24</v>
      </c>
      <c r="E18" s="2" t="s">
        <v>181</v>
      </c>
      <c r="F18" s="3">
        <v>46305</v>
      </c>
      <c r="G18" s="3">
        <v>46302</v>
      </c>
      <c r="H18" s="3"/>
      <c r="I18" s="2" t="s">
        <v>192</v>
      </c>
      <c r="J18" s="2">
        <f ca="1">IF(OR(F18="",E18="Approved"),"",MAX(0,TODAY()-F18))</f>
        <v>3</v>
      </c>
      <c r="K18" s="2" t="str">
        <f ca="1">IF(E18="","",IF(E18="Approved","Done",IF(AND(F18&lt;&gt;"",F18&lt;TODAY()),"Overdue",IF(E18="Sent to client","Waiting on client","On track"))))</f>
        <v>Overdue</v>
      </c>
      <c r="L18" s="2" t="s">
        <v>195</v>
      </c>
    </row>
    <row r="19" spans="1:12">
      <c r="A19" s="2" t="s">
        <v>196</v>
      </c>
      <c r="B19" s="2" t="s">
        <v>110</v>
      </c>
      <c r="C19" s="2" t="s">
        <v>28</v>
      </c>
      <c r="D19" s="2" t="s">
        <v>29</v>
      </c>
      <c r="E19" s="2" t="s">
        <v>168</v>
      </c>
      <c r="F19" s="3">
        <v>46270</v>
      </c>
      <c r="G19" s="3">
        <v>46267</v>
      </c>
      <c r="H19" s="3">
        <v>46274</v>
      </c>
      <c r="I19" s="2" t="s">
        <v>197</v>
      </c>
      <c r="J19" s="2" t="str">
        <f ca="1">IF(OR(F19="",E19="Approved"),"",MAX(0,TODAY()-F19))</f>
        <v/>
      </c>
      <c r="K19" s="2" t="str">
        <f ca="1">IF(E19="","",IF(E19="Approved","Done",IF(AND(F19&lt;&gt;"",F19&lt;TODAY()),"Overdue",IF(E19="Sent to client","Waiting on client","On track"))))</f>
        <v>Done</v>
      </c>
      <c r="L19" s="2"/>
    </row>
    <row r="20" spans="1:12">
      <c r="A20" s="2" t="s">
        <v>198</v>
      </c>
      <c r="B20" s="2" t="s">
        <v>110</v>
      </c>
      <c r="C20" s="2" t="s">
        <v>28</v>
      </c>
      <c r="D20" s="2" t="s">
        <v>29</v>
      </c>
      <c r="E20" s="2" t="s">
        <v>187</v>
      </c>
      <c r="F20" s="3">
        <v>46298</v>
      </c>
      <c r="G20" s="3">
        <v>46294</v>
      </c>
      <c r="H20" s="3"/>
      <c r="I20" s="2" t="s">
        <v>197</v>
      </c>
      <c r="J20" s="2">
        <f ca="1">IF(OR(F20="",E20="Approved"),"",MAX(0,TODAY()-F20))</f>
        <v>10</v>
      </c>
      <c r="K20" s="2" t="str">
        <f ca="1">IF(E20="","",IF(E20="Approved","Done",IF(AND(F20&lt;&gt;"",F20&lt;TODAY()),"Overdue",IF(E20="Sent to client","Waiting on client","On track"))))</f>
        <v>Overdue</v>
      </c>
      <c r="L20" s="2" t="s">
        <v>199</v>
      </c>
    </row>
    <row r="21" spans="1:12">
      <c r="A21" s="2" t="s">
        <v>114</v>
      </c>
      <c r="B21" s="2" t="s">
        <v>113</v>
      </c>
      <c r="C21" s="2" t="s">
        <v>28</v>
      </c>
      <c r="D21" s="2" t="s">
        <v>29</v>
      </c>
      <c r="E21" s="2" t="s">
        <v>200</v>
      </c>
      <c r="F21" s="3">
        <v>46332</v>
      </c>
      <c r="G21" s="3"/>
      <c r="H21" s="3"/>
      <c r="I21" s="2" t="s">
        <v>197</v>
      </c>
      <c r="J21" s="2">
        <f ca="1">IF(OR(F21="",E21="Approved"),"",MAX(0,TODAY()-F21))</f>
        <v>0</v>
      </c>
      <c r="K21" s="2" t="str">
        <f ca="1">IF(E21="","",IF(E21="Approved","Done",IF(AND(F21&lt;&gt;"",F21&lt;TODAY()),"Overdue",IF(E21="Sent to client","Waiting on client","On track"))))</f>
        <v>On track</v>
      </c>
      <c r="L21" s="2" t="s">
        <v>201</v>
      </c>
    </row>
    <row r="22" spans="1:12">
      <c r="A22" s="2" t="s">
        <v>202</v>
      </c>
      <c r="B22" s="2" t="s">
        <v>117</v>
      </c>
      <c r="C22" s="2" t="s">
        <v>33</v>
      </c>
      <c r="D22" s="2" t="s">
        <v>35</v>
      </c>
      <c r="E22" s="2" t="s">
        <v>184</v>
      </c>
      <c r="F22" s="3">
        <v>46340</v>
      </c>
      <c r="G22" s="3"/>
      <c r="H22" s="3"/>
      <c r="I22" s="2" t="s">
        <v>203</v>
      </c>
      <c r="J22" s="2">
        <f ca="1">IF(OR(F22="",E22="Approved"),"",MAX(0,TODAY()-F22))</f>
        <v>0</v>
      </c>
      <c r="K22" s="2" t="str">
        <f ca="1">IF(E22="","",IF(E22="Approved","Done",IF(AND(F22&lt;&gt;"",F22&lt;TODAY()),"Overdue",IF(E22="Sent to client","Waiting on client","On track"))))</f>
        <v>On track</v>
      </c>
      <c r="L22" s="2"/>
    </row>
    <row r="23" spans="1:12">
      <c r="A23" s="2" t="s">
        <v>204</v>
      </c>
      <c r="B23" s="2" t="s">
        <v>117</v>
      </c>
      <c r="C23" s="2" t="s">
        <v>33</v>
      </c>
      <c r="D23" s="2" t="s">
        <v>35</v>
      </c>
      <c r="E23" s="2" t="s">
        <v>200</v>
      </c>
      <c r="F23" s="3">
        <v>46347</v>
      </c>
      <c r="G23" s="3"/>
      <c r="H23" s="3"/>
      <c r="I23" s="2" t="s">
        <v>203</v>
      </c>
      <c r="J23" s="2">
        <f ca="1">IF(OR(F23="",E23="Approved"),"",MAX(0,TODAY()-F23))</f>
        <v>0</v>
      </c>
      <c r="K23" s="2" t="str">
        <f ca="1">IF(E23="","",IF(E23="Approved","Done",IF(AND(F23&lt;&gt;"",F23&lt;TODAY()),"Overdue",IF(E23="Sent to client","Waiting on client","On track"))))</f>
        <v>On track</v>
      </c>
      <c r="L23" s="2" t="s">
        <v>205</v>
      </c>
    </row>
    <row r="24" spans="1:12">
      <c r="A24" s="2" t="s">
        <v>206</v>
      </c>
      <c r="B24" s="2" t="s">
        <v>120</v>
      </c>
      <c r="C24" s="2" t="s">
        <v>38</v>
      </c>
      <c r="D24" s="2" t="s">
        <v>19</v>
      </c>
      <c r="E24" s="2" t="s">
        <v>181</v>
      </c>
      <c r="F24" s="3">
        <v>46312</v>
      </c>
      <c r="G24" s="3">
        <v>46303</v>
      </c>
      <c r="H24" s="3"/>
      <c r="I24" s="2" t="s">
        <v>207</v>
      </c>
      <c r="J24" s="2">
        <f ca="1">IF(OR(F24="",E24="Approved"),"",MAX(0,TODAY()-F24))</f>
        <v>0</v>
      </c>
      <c r="K24" s="2" t="str">
        <f ca="1">IF(E24="","",IF(E24="Approved","Done",IF(AND(F24&lt;&gt;"",F24&lt;TODAY()),"Overdue",IF(E24="Sent to client","Waiting on client","On track"))))</f>
        <v>Waiting on client</v>
      </c>
      <c r="L24" s="2" t="s">
        <v>208</v>
      </c>
    </row>
    <row r="25" spans="1:12">
      <c r="A25" s="2" t="s">
        <v>209</v>
      </c>
      <c r="B25" s="2" t="s">
        <v>120</v>
      </c>
      <c r="C25" s="2" t="s">
        <v>38</v>
      </c>
      <c r="D25" s="2" t="s">
        <v>19</v>
      </c>
      <c r="E25" s="2" t="s">
        <v>168</v>
      </c>
      <c r="F25" s="3">
        <v>46295</v>
      </c>
      <c r="G25" s="3">
        <v>46287</v>
      </c>
      <c r="H25" s="3">
        <v>46294</v>
      </c>
      <c r="I25" s="2" t="s">
        <v>207</v>
      </c>
      <c r="J25" s="2" t="str">
        <f ca="1">IF(OR(F25="",E25="Approved"),"",MAX(0,TODAY()-F25))</f>
        <v/>
      </c>
      <c r="K25" s="2" t="str">
        <f ca="1">IF(E25="","",IF(E25="Approved","Done",IF(AND(F25&lt;&gt;"",F25&lt;TODAY()),"Overdue",IF(E25="Sent to client","Waiting on client","On track"))))</f>
        <v>Done</v>
      </c>
      <c r="L25" s="2"/>
    </row>
    <row r="26" spans="1:12">
      <c r="A26" s="2" t="s">
        <v>124</v>
      </c>
      <c r="B26" s="2" t="s">
        <v>123</v>
      </c>
      <c r="C26" s="2" t="s">
        <v>41</v>
      </c>
      <c r="D26" s="2" t="s">
        <v>24</v>
      </c>
      <c r="E26" s="2" t="s">
        <v>190</v>
      </c>
      <c r="F26" s="3">
        <v>46346</v>
      </c>
      <c r="G26" s="3"/>
      <c r="H26" s="3"/>
      <c r="I26" s="2" t="s">
        <v>210</v>
      </c>
      <c r="J26" s="2">
        <f ca="1">IF(OR(F26="",E26="Approved"),"",MAX(0,TODAY()-F26))</f>
        <v>0</v>
      </c>
      <c r="K26" s="2" t="str">
        <f ca="1">IF(E26="","",IF(E26="Approved","Done",IF(AND(F26&lt;&gt;"",F26&lt;TODAY()),"Overdue",IF(E26="Sent to client","Waiting on client","On track"))))</f>
        <v>On track</v>
      </c>
      <c r="L26" s="2" t="s">
        <v>211</v>
      </c>
    </row>
    <row r="27" spans="1:12">
      <c r="A27" s="2" t="s">
        <v>128</v>
      </c>
      <c r="B27" s="2" t="s">
        <v>127</v>
      </c>
      <c r="C27" s="2" t="s">
        <v>45</v>
      </c>
      <c r="D27" s="2" t="s">
        <v>29</v>
      </c>
      <c r="E27" s="2" t="s">
        <v>184</v>
      </c>
      <c r="F27" s="3">
        <v>46332</v>
      </c>
      <c r="G27" s="3"/>
      <c r="H27" s="3"/>
      <c r="I27" s="2" t="s">
        <v>212</v>
      </c>
      <c r="J27" s="2">
        <f ca="1">IF(OR(F27="",E27="Approved"),"",MAX(0,TODAY()-F27))</f>
        <v>0</v>
      </c>
      <c r="K27" s="2" t="str">
        <f ca="1">IF(E27="","",IF(E27="Approved","Done",IF(AND(F27&lt;&gt;"",F27&lt;TODAY()),"Overdue",IF(E27="Sent to client","Waiting on client","On track"))))</f>
        <v>On track</v>
      </c>
      <c r="L27" s="2"/>
    </row>
    <row r="28" spans="1:12">
      <c r="A28" s="2" t="s">
        <v>213</v>
      </c>
      <c r="B28" s="2" t="s">
        <v>130</v>
      </c>
      <c r="C28" s="2" t="s">
        <v>48</v>
      </c>
      <c r="D28" s="2" t="s">
        <v>35</v>
      </c>
      <c r="E28" s="2" t="s">
        <v>168</v>
      </c>
      <c r="F28" s="3">
        <v>46277</v>
      </c>
      <c r="G28" s="3">
        <v>46272</v>
      </c>
      <c r="H28" s="3">
        <v>46275</v>
      </c>
      <c r="I28" s="2" t="s">
        <v>214</v>
      </c>
      <c r="J28" s="2" t="str">
        <f ca="1">IF(OR(F28="",E28="Approved"),"",MAX(0,TODAY()-F28))</f>
        <v/>
      </c>
      <c r="K28" s="2" t="str">
        <f ca="1">IF(E28="","",IF(E28="Approved","Done",IF(AND(F28&lt;&gt;"",F28&lt;TODAY()),"Overdue",IF(E28="Sent to client","Waiting on client","On track"))))</f>
        <v>Done</v>
      </c>
      <c r="L28" s="2"/>
    </row>
    <row r="29" spans="1:12">
      <c r="A29" s="2" t="s">
        <v>215</v>
      </c>
      <c r="B29" s="2" t="s">
        <v>130</v>
      </c>
      <c r="C29" s="2" t="s">
        <v>48</v>
      </c>
      <c r="D29" s="2" t="s">
        <v>35</v>
      </c>
      <c r="E29" s="2" t="s">
        <v>168</v>
      </c>
      <c r="F29" s="3">
        <v>46291</v>
      </c>
      <c r="G29" s="3">
        <v>46286</v>
      </c>
      <c r="H29" s="3">
        <v>46290</v>
      </c>
      <c r="I29" s="2" t="s">
        <v>214</v>
      </c>
      <c r="J29" s="2" t="str">
        <f ca="1">IF(OR(F29="",E29="Approved"),"",MAX(0,TODAY()-F29))</f>
        <v/>
      </c>
      <c r="K29" s="2" t="str">
        <f ca="1">IF(E29="","",IF(E29="Approved","Done",IF(AND(F29&lt;&gt;"",F29&lt;TODAY()),"Overdue",IF(E29="Sent to client","Waiting on client","On track"))))</f>
        <v>Done</v>
      </c>
      <c r="L29" s="2"/>
    </row>
    <row r="30" spans="1:12">
      <c r="A30" s="2" t="s">
        <v>133</v>
      </c>
      <c r="B30" s="2" t="s">
        <v>132</v>
      </c>
      <c r="C30" s="2" t="s">
        <v>48</v>
      </c>
      <c r="D30" s="2" t="s">
        <v>35</v>
      </c>
      <c r="E30" s="2" t="s">
        <v>184</v>
      </c>
      <c r="F30" s="3">
        <v>46323</v>
      </c>
      <c r="G30" s="3"/>
      <c r="H30" s="3"/>
      <c r="I30" s="2" t="s">
        <v>214</v>
      </c>
      <c r="J30" s="2">
        <f ca="1">IF(OR(F30="",E30="Approved"),"",MAX(0,TODAY()-F30))</f>
        <v>0</v>
      </c>
      <c r="K30" s="2" t="str">
        <f ca="1">IF(E30="","",IF(E30="Approved","Done",IF(AND(F30&lt;&gt;"",F30&lt;TODAY()),"Overdue",IF(E30="Sent to client","Waiting on client","On track"))))</f>
        <v>On track</v>
      </c>
      <c r="L30" s="2" t="s">
        <v>216</v>
      </c>
    </row>
    <row r="31" spans="1:12">
      <c r="A31" s="2" t="s">
        <v>217</v>
      </c>
      <c r="B31" s="2" t="s">
        <v>135</v>
      </c>
      <c r="C31" s="2" t="s">
        <v>52</v>
      </c>
      <c r="D31" s="2" t="s">
        <v>24</v>
      </c>
      <c r="E31" s="2" t="s">
        <v>181</v>
      </c>
      <c r="F31" s="3">
        <v>46311</v>
      </c>
      <c r="G31" s="3">
        <v>46304</v>
      </c>
      <c r="H31" s="3"/>
      <c r="I31" s="2" t="s">
        <v>218</v>
      </c>
      <c r="J31" s="2">
        <f ca="1">IF(OR(F31="",E31="Approved"),"",MAX(0,TODAY()-F31))</f>
        <v>0</v>
      </c>
      <c r="K31" s="2" t="str">
        <f ca="1">IF(E31="","",IF(E31="Approved","Done",IF(AND(F31&lt;&gt;"",F31&lt;TODAY()),"Overdue",IF(E31="Sent to client","Waiting on client","On track"))))</f>
        <v>Waiting on client</v>
      </c>
      <c r="L31" s="2" t="s">
        <v>219</v>
      </c>
    </row>
    <row r="32" spans="1:12">
      <c r="A32" s="2" t="s">
        <v>139</v>
      </c>
      <c r="B32" s="2" t="s">
        <v>138</v>
      </c>
      <c r="C32" s="2" t="s">
        <v>55</v>
      </c>
      <c r="D32" s="2" t="s">
        <v>35</v>
      </c>
      <c r="E32" s="2" t="s">
        <v>187</v>
      </c>
      <c r="F32" s="3">
        <v>46306</v>
      </c>
      <c r="G32" s="3">
        <v>46297</v>
      </c>
      <c r="H32" s="3"/>
      <c r="I32" s="2" t="s">
        <v>220</v>
      </c>
      <c r="J32" s="2">
        <f ca="1">IF(OR(F32="",E32="Approved"),"",MAX(0,TODAY()-F32))</f>
        <v>2</v>
      </c>
      <c r="K32" s="2" t="str">
        <f ca="1">IF(E32="","",IF(E32="Approved","Done",IF(AND(F32&lt;&gt;"",F32&lt;TODAY()),"Overdue",IF(E32="Sent to client","Waiting on client","On track"))))</f>
        <v>Overdue</v>
      </c>
      <c r="L32" s="2" t="s">
        <v>221</v>
      </c>
    </row>
    <row r="33" spans="1:12">
      <c r="A33" s="2" t="s">
        <v>222</v>
      </c>
      <c r="B33" s="2" t="s">
        <v>141</v>
      </c>
      <c r="C33" s="2" t="s">
        <v>58</v>
      </c>
      <c r="D33" s="2" t="s">
        <v>19</v>
      </c>
      <c r="E33" s="2" t="s">
        <v>184</v>
      </c>
      <c r="F33" s="3">
        <v>46332</v>
      </c>
      <c r="G33" s="3"/>
      <c r="H33" s="3"/>
      <c r="I33" s="2" t="s">
        <v>223</v>
      </c>
      <c r="J33" s="2">
        <f ca="1">IF(OR(F33="",E33="Approved"),"",MAX(0,TODAY()-F33))</f>
        <v>0</v>
      </c>
      <c r="K33" s="2" t="str">
        <f ca="1">IF(E33="","",IF(E33="Approved","Done",IF(AND(F33&lt;&gt;"",F33&lt;TODAY()),"Overdue",IF(E33="Sent to client","Waiting on client","On track"))))</f>
        <v>On track</v>
      </c>
      <c r="L33" s="2"/>
    </row>
    <row r="34" spans="1:12">
      <c r="A34" s="2" t="s">
        <v>224</v>
      </c>
      <c r="B34" s="2" t="s">
        <v>144</v>
      </c>
      <c r="C34" s="2" t="s">
        <v>61</v>
      </c>
      <c r="D34" s="2" t="s">
        <v>29</v>
      </c>
      <c r="E34" s="2" t="s">
        <v>200</v>
      </c>
      <c r="F34" s="3">
        <v>46339</v>
      </c>
      <c r="G34" s="3"/>
      <c r="H34" s="3"/>
      <c r="I34" s="2" t="s">
        <v>225</v>
      </c>
      <c r="J34" s="2">
        <f ca="1">IF(OR(F34="",E34="Approved"),"",MAX(0,TODAY()-F34))</f>
        <v>0</v>
      </c>
      <c r="K34" s="2" t="str">
        <f ca="1">IF(E34="","",IF(E34="Approved","Done",IF(AND(F34&lt;&gt;"",F34&lt;TODAY()),"Overdue",IF(E34="Sent to client","Waiting on client","On track"))))</f>
        <v>On track</v>
      </c>
      <c r="L34" s="2" t="s">
        <v>226</v>
      </c>
    </row>
    <row r="35" spans="1:12">
      <c r="A35" s="2" t="s">
        <v>227</v>
      </c>
      <c r="B35" s="2" t="s">
        <v>147</v>
      </c>
      <c r="C35" s="2" t="s">
        <v>64</v>
      </c>
      <c r="D35" s="2" t="s">
        <v>24</v>
      </c>
      <c r="E35" s="2" t="s">
        <v>181</v>
      </c>
      <c r="F35" s="3">
        <v>46295</v>
      </c>
      <c r="G35" s="3">
        <v>46291</v>
      </c>
      <c r="H35" s="3"/>
      <c r="I35" s="2" t="s">
        <v>228</v>
      </c>
      <c r="J35" s="2">
        <f ca="1">IF(OR(F35="",E35="Approved"),"",MAX(0,TODAY()-F35))</f>
        <v>13</v>
      </c>
      <c r="K35" s="2" t="str">
        <f ca="1">IF(E35="","",IF(E35="Approved","Done",IF(AND(F35&lt;&gt;"",F35&lt;TODAY()),"Overdue",IF(E35="Sent to client","Waiting on client","On track"))))</f>
        <v>Overdue</v>
      </c>
      <c r="L35" s="2" t="s">
        <v>229</v>
      </c>
    </row>
    <row r="36" spans="1:12">
      <c r="A36" s="2" t="s">
        <v>230</v>
      </c>
      <c r="B36" s="2" t="s">
        <v>147</v>
      </c>
      <c r="C36" s="2" t="s">
        <v>64</v>
      </c>
      <c r="D36" s="2" t="s">
        <v>24</v>
      </c>
      <c r="E36" s="2" t="s">
        <v>190</v>
      </c>
      <c r="F36" s="3">
        <v>46318</v>
      </c>
      <c r="G36" s="3"/>
      <c r="H36" s="3"/>
      <c r="I36" s="2" t="s">
        <v>228</v>
      </c>
      <c r="J36" s="2">
        <f ca="1">IF(OR(F36="",E36="Approved"),"",MAX(0,TODAY()-F36))</f>
        <v>0</v>
      </c>
      <c r="K36" s="2" t="str">
        <f ca="1">IF(E36="","",IF(E36="Approved","Done",IF(AND(F36&lt;&gt;"",F36&lt;TODAY()),"Overdue",IF(E36="Sent to client","Waiting on client","On track"))))</f>
        <v>On track</v>
      </c>
      <c r="L36" s="2" t="s">
        <v>231</v>
      </c>
    </row>
    <row r="37" spans="1:12">
      <c r="A37" s="2" t="s">
        <v>232</v>
      </c>
      <c r="B37" s="2" t="s">
        <v>150</v>
      </c>
      <c r="C37" s="2" t="s">
        <v>67</v>
      </c>
      <c r="D37" s="2" t="s">
        <v>35</v>
      </c>
      <c r="E37" s="2" t="s">
        <v>184</v>
      </c>
      <c r="F37" s="3">
        <v>46339</v>
      </c>
      <c r="G37" s="3"/>
      <c r="H37" s="3"/>
      <c r="I37" s="2" t="s">
        <v>233</v>
      </c>
      <c r="J37" s="2">
        <f ca="1">IF(OR(F37="",E37="Approved"),"",MAX(0,TODAY()-F37))</f>
        <v>0</v>
      </c>
      <c r="K37" s="2" t="str">
        <f ca="1">IF(E37="","",IF(E37="Approved","Done",IF(AND(F37&lt;&gt;"",F37&lt;TODAY()),"Overdue",IF(E37="Sent to client","Waiting on client","On track"))))</f>
        <v>On track</v>
      </c>
      <c r="L37" s="2"/>
    </row>
    <row r="38" spans="1:12">
      <c r="A38" s="2" t="s">
        <v>154</v>
      </c>
      <c r="B38" s="2" t="s">
        <v>153</v>
      </c>
      <c r="C38" s="2" t="s">
        <v>70</v>
      </c>
      <c r="D38" s="2" t="s">
        <v>19</v>
      </c>
      <c r="E38" s="2" t="s">
        <v>190</v>
      </c>
      <c r="F38" s="3">
        <v>46332</v>
      </c>
      <c r="G38" s="3"/>
      <c r="H38" s="3"/>
      <c r="I38" s="2" t="s">
        <v>234</v>
      </c>
      <c r="J38" s="2">
        <f ca="1">IF(OR(F38="",E38="Approved"),"",MAX(0,TODAY()-F38))</f>
        <v>0</v>
      </c>
      <c r="K38" s="2" t="str">
        <f ca="1">IF(E38="","",IF(E38="Approved","Done",IF(AND(F38&lt;&gt;"",F38&lt;TODAY()),"Overdue",IF(E38="Sent to client","Waiting on client","On track"))))</f>
        <v>On track</v>
      </c>
      <c r="L38" s="2" t="s">
        <v>211</v>
      </c>
    </row>
    <row r="39" spans="1:12">
      <c r="A39" s="2" t="s">
        <v>235</v>
      </c>
      <c r="B39" s="2" t="s">
        <v>156</v>
      </c>
      <c r="C39" s="2" t="s">
        <v>73</v>
      </c>
      <c r="D39" s="2" t="s">
        <v>29</v>
      </c>
      <c r="E39" s="2" t="s">
        <v>168</v>
      </c>
      <c r="F39" s="3">
        <v>46304</v>
      </c>
      <c r="G39" s="3">
        <v>46297</v>
      </c>
      <c r="H39" s="3">
        <v>46303</v>
      </c>
      <c r="I39" s="2" t="s">
        <v>236</v>
      </c>
      <c r="J39" s="2" t="str">
        <f ca="1">IF(OR(F39="",E39="Approved"),"",MAX(0,TODAY()-F39))</f>
        <v/>
      </c>
      <c r="K39" s="2" t="str">
        <f ca="1">IF(E39="","",IF(E39="Approved","Done",IF(AND(F39&lt;&gt;"",F39&lt;TODAY()),"Overdue",IF(E39="Sent to client","Waiting on client","On track"))))</f>
        <v>Done</v>
      </c>
      <c r="L39" s="2" t="s">
        <v>237</v>
      </c>
    </row>
    <row r="40" spans="1:12">
      <c r="A40" s="2" t="s">
        <v>163</v>
      </c>
      <c r="B40" s="2" t="s">
        <v>162</v>
      </c>
      <c r="C40" s="2" t="s">
        <v>79</v>
      </c>
      <c r="D40" s="2" t="s">
        <v>35</v>
      </c>
      <c r="E40" s="2" t="s">
        <v>168</v>
      </c>
      <c r="F40" s="3">
        <v>46256</v>
      </c>
      <c r="G40" s="3">
        <v>46249</v>
      </c>
      <c r="H40" s="3">
        <v>46255</v>
      </c>
      <c r="I40" s="2" t="s">
        <v>238</v>
      </c>
      <c r="J40" s="2" t="str">
        <f ca="1">IF(OR(F40="",E40="Approved"),"",MAX(0,TODAY()-F40))</f>
        <v/>
      </c>
      <c r="K40" s="2" t="str">
        <f ca="1">IF(E40="","",IF(E40="Approved","Done",IF(AND(F40&lt;&gt;"",F40&lt;TODAY()),"Overdue",IF(E40="Sent to client","Waiting on client","On track"))))</f>
        <v>Done</v>
      </c>
      <c r="L40" s="2"/>
    </row>
    <row r="41" spans="1:12">
      <c r="A41" s="2"/>
      <c r="B41" s="2"/>
      <c r="C41" s="2"/>
      <c r="D41" s="2"/>
      <c r="E41" s="2"/>
      <c r="F41" s="3"/>
      <c r="G41" s="3"/>
      <c r="H41" s="3"/>
      <c r="I41" s="2"/>
      <c r="J41" s="2" t="str">
        <f ca="1">IF(OR(F41="",E41="Approved"),"",MAX(0,TODAY()-F41))</f>
        <v/>
      </c>
      <c r="K41" s="2" t="str">
        <f ca="1">IF(E41="","",IF(E41="Approved","Done",IF(AND(F41&lt;&gt;"",F41&lt;TODAY()),"Overdue",IF(E41="Sent to client","Waiting on client","On track"))))</f>
        <v/>
      </c>
      <c r="L41" s="2"/>
    </row>
    <row r="42" spans="1:12">
      <c r="A42" s="2"/>
      <c r="B42" s="2"/>
      <c r="C42" s="2"/>
      <c r="D42" s="2"/>
      <c r="E42" s="2"/>
      <c r="F42" s="3"/>
      <c r="G42" s="3"/>
      <c r="H42" s="3"/>
      <c r="I42" s="2"/>
      <c r="J42" s="2" t="str">
        <f ca="1">IF(OR(F42="",E42="Approved"),"",MAX(0,TODAY()-F42))</f>
        <v/>
      </c>
      <c r="K42" s="2" t="str">
        <f ca="1">IF(E42="","",IF(E42="Approved","Done",IF(AND(F42&lt;&gt;"",F42&lt;TODAY()),"Overdue",IF(E42="Sent to client","Waiting on client","On track"))))</f>
        <v/>
      </c>
      <c r="L42" s="2"/>
    </row>
    <row r="43" spans="1:12">
      <c r="A43" s="2"/>
      <c r="B43" s="2"/>
      <c r="C43" s="2"/>
      <c r="D43" s="2"/>
      <c r="E43" s="2"/>
      <c r="F43" s="3"/>
      <c r="G43" s="3"/>
      <c r="H43" s="3"/>
      <c r="I43" s="2"/>
      <c r="J43" s="2" t="str">
        <f ca="1">IF(OR(F43="",E43="Approved"),"",MAX(0,TODAY()-F43))</f>
        <v/>
      </c>
      <c r="K43" s="2" t="str">
        <f ca="1">IF(E43="","",IF(E43="Approved","Done",IF(AND(F43&lt;&gt;"",F43&lt;TODAY()),"Overdue",IF(E43="Sent to client","Waiting on client","On track"))))</f>
        <v/>
      </c>
      <c r="L43" s="2"/>
    </row>
    <row r="44" spans="1:12">
      <c r="A44" s="2"/>
      <c r="B44" s="2"/>
      <c r="C44" s="2"/>
      <c r="D44" s="2"/>
      <c r="E44" s="2"/>
      <c r="F44" s="3"/>
      <c r="G44" s="3"/>
      <c r="H44" s="3"/>
      <c r="I44" s="2"/>
      <c r="J44" s="2" t="str">
        <f ca="1">IF(OR(F44="",E44="Approved"),"",MAX(0,TODAY()-F44))</f>
        <v/>
      </c>
      <c r="K44" s="2" t="str">
        <f ca="1">IF(E44="","",IF(E44="Approved","Done",IF(AND(F44&lt;&gt;"",F44&lt;TODAY()),"Overdue",IF(E44="Sent to client","Waiting on client","On track"))))</f>
        <v/>
      </c>
      <c r="L44" s="2"/>
    </row>
    <row r="45" spans="1:12">
      <c r="A45" s="2"/>
      <c r="B45" s="2"/>
      <c r="C45" s="2"/>
      <c r="D45" s="2"/>
      <c r="E45" s="2"/>
      <c r="F45" s="3"/>
      <c r="G45" s="3"/>
      <c r="H45" s="3"/>
      <c r="I45" s="2"/>
      <c r="J45" s="2" t="str">
        <f ca="1">IF(OR(F45="",E45="Approved"),"",MAX(0,TODAY()-F45))</f>
        <v/>
      </c>
      <c r="K45" s="2" t="str">
        <f ca="1">IF(E45="","",IF(E45="Approved","Done",IF(AND(F45&lt;&gt;"",F45&lt;TODAY()),"Overdue",IF(E45="Sent to client","Waiting on client","On track"))))</f>
        <v/>
      </c>
      <c r="L45" s="2"/>
    </row>
    <row r="46" spans="1:12">
      <c r="A46" s="2"/>
      <c r="B46" s="2"/>
      <c r="C46" s="2"/>
      <c r="D46" s="2"/>
      <c r="E46" s="2"/>
      <c r="F46" s="3"/>
      <c r="G46" s="3"/>
      <c r="H46" s="3"/>
      <c r="I46" s="2"/>
      <c r="J46" s="2" t="str">
        <f ca="1">IF(OR(F46="",E46="Approved"),"",MAX(0,TODAY()-F46))</f>
        <v/>
      </c>
      <c r="K46" s="2" t="str">
        <f ca="1">IF(E46="","",IF(E46="Approved","Done",IF(AND(F46&lt;&gt;"",F46&lt;TODAY()),"Overdue",IF(E46="Sent to client","Waiting on client","On track"))))</f>
        <v/>
      </c>
      <c r="L46" s="2"/>
    </row>
    <row r="47" spans="1:12">
      <c r="A47" s="2"/>
      <c r="B47" s="2"/>
      <c r="C47" s="2"/>
      <c r="D47" s="2"/>
      <c r="E47" s="2"/>
      <c r="F47" s="3"/>
      <c r="G47" s="3"/>
      <c r="H47" s="3"/>
      <c r="I47" s="2"/>
      <c r="J47" s="2" t="str">
        <f ca="1">IF(OR(F47="",E47="Approved"),"",MAX(0,TODAY()-F47))</f>
        <v/>
      </c>
      <c r="K47" s="2" t="str">
        <f ca="1">IF(E47="","",IF(E47="Approved","Done",IF(AND(F47&lt;&gt;"",F47&lt;TODAY()),"Overdue",IF(E47="Sent to client","Waiting on client","On track"))))</f>
        <v/>
      </c>
      <c r="L47" s="2"/>
    </row>
    <row r="48" spans="1:12">
      <c r="A48" s="2"/>
      <c r="B48" s="2"/>
      <c r="C48" s="2"/>
      <c r="D48" s="2"/>
      <c r="E48" s="2"/>
      <c r="F48" s="3"/>
      <c r="G48" s="3"/>
      <c r="H48" s="3"/>
      <c r="I48" s="2"/>
      <c r="J48" s="2" t="str">
        <f ca="1">IF(OR(F48="",E48="Approved"),"",MAX(0,TODAY()-F48))</f>
        <v/>
      </c>
      <c r="K48" s="2" t="str">
        <f ca="1">IF(E48="","",IF(E48="Approved","Done",IF(AND(F48&lt;&gt;"",F48&lt;TODAY()),"Overdue",IF(E48="Sent to client","Waiting on client","On track"))))</f>
        <v/>
      </c>
      <c r="L48" s="2"/>
    </row>
    <row r="49" spans="1:12">
      <c r="A49" s="2"/>
      <c r="B49" s="2"/>
      <c r="C49" s="2"/>
      <c r="D49" s="2"/>
      <c r="E49" s="2"/>
      <c r="F49" s="3"/>
      <c r="G49" s="3"/>
      <c r="H49" s="3"/>
      <c r="I49" s="2"/>
      <c r="J49" s="2" t="str">
        <f ca="1">IF(OR(F49="",E49="Approved"),"",MAX(0,TODAY()-F49))</f>
        <v/>
      </c>
      <c r="K49" s="2" t="str">
        <f ca="1">IF(E49="","",IF(E49="Approved","Done",IF(AND(F49&lt;&gt;"",F49&lt;TODAY()),"Overdue",IF(E49="Sent to client","Waiting on client","On track"))))</f>
        <v/>
      </c>
      <c r="L49" s="2"/>
    </row>
    <row r="50" spans="1:12">
      <c r="A50" s="2"/>
      <c r="B50" s="2"/>
      <c r="C50" s="2"/>
      <c r="D50" s="2"/>
      <c r="E50" s="2"/>
      <c r="F50" s="3"/>
      <c r="G50" s="3"/>
      <c r="H50" s="3"/>
      <c r="I50" s="2"/>
      <c r="J50" s="2" t="str">
        <f ca="1">IF(OR(F50="",E50="Approved"),"",MAX(0,TODAY()-F50))</f>
        <v/>
      </c>
      <c r="K50" s="2" t="str">
        <f ca="1">IF(E50="","",IF(E50="Approved","Done",IF(AND(F50&lt;&gt;"",F50&lt;TODAY()),"Overdue",IF(E50="Sent to client","Waiting on client","On track"))))</f>
        <v/>
      </c>
      <c r="L50" s="2"/>
    </row>
    <row r="51" spans="1:12">
      <c r="A51" s="2"/>
      <c r="B51" s="2"/>
      <c r="C51" s="2"/>
      <c r="D51" s="2"/>
      <c r="E51" s="2"/>
      <c r="F51" s="3"/>
      <c r="G51" s="3"/>
      <c r="H51" s="3"/>
      <c r="I51" s="2"/>
      <c r="J51" s="2" t="str">
        <f ca="1">IF(OR(F51="",E51="Approved"),"",MAX(0,TODAY()-F51))</f>
        <v/>
      </c>
      <c r="K51" s="2" t="str">
        <f ca="1">IF(E51="","",IF(E51="Approved","Done",IF(AND(F51&lt;&gt;"",F51&lt;TODAY()),"Overdue",IF(E51="Sent to client","Waiting on client","On track"))))</f>
        <v/>
      </c>
      <c r="L51" s="2"/>
    </row>
    <row r="52" spans="1:12">
      <c r="A52" s="2"/>
      <c r="B52" s="2"/>
      <c r="C52" s="2"/>
      <c r="D52" s="2"/>
      <c r="E52" s="2"/>
      <c r="F52" s="3"/>
      <c r="G52" s="3"/>
      <c r="H52" s="3"/>
      <c r="I52" s="2"/>
      <c r="J52" s="2" t="str">
        <f ca="1">IF(OR(F52="",E52="Approved"),"",MAX(0,TODAY()-F52))</f>
        <v/>
      </c>
      <c r="K52" s="2" t="str">
        <f ca="1">IF(E52="","",IF(E52="Approved","Done",IF(AND(F52&lt;&gt;"",F52&lt;TODAY()),"Overdue",IF(E52="Sent to client","Waiting on client","On track"))))</f>
        <v/>
      </c>
      <c r="L52" s="2"/>
    </row>
    <row r="53" spans="1:12">
      <c r="A53" s="2"/>
      <c r="B53" s="2"/>
      <c r="C53" s="2"/>
      <c r="D53" s="2"/>
      <c r="E53" s="2"/>
      <c r="F53" s="3"/>
      <c r="G53" s="3"/>
      <c r="H53" s="3"/>
      <c r="I53" s="2"/>
      <c r="J53" s="2" t="str">
        <f ca="1">IF(OR(F53="",E53="Approved"),"",MAX(0,TODAY()-F53))</f>
        <v/>
      </c>
      <c r="K53" s="2" t="str">
        <f ca="1">IF(E53="","",IF(E53="Approved","Done",IF(AND(F53&lt;&gt;"",F53&lt;TODAY()),"Overdue",IF(E53="Sent to client","Waiting on client","On track"))))</f>
        <v/>
      </c>
      <c r="L53" s="2"/>
    </row>
    <row r="54" spans="1:12">
      <c r="A54" s="2"/>
      <c r="B54" s="2"/>
      <c r="C54" s="2"/>
      <c r="D54" s="2"/>
      <c r="E54" s="2"/>
      <c r="F54" s="3"/>
      <c r="G54" s="3"/>
      <c r="H54" s="3"/>
      <c r="I54" s="2"/>
      <c r="J54" s="2" t="str">
        <f ca="1">IF(OR(F54="",E54="Approved"),"",MAX(0,TODAY()-F54))</f>
        <v/>
      </c>
      <c r="K54" s="2" t="str">
        <f ca="1">IF(E54="","",IF(E54="Approved","Done",IF(AND(F54&lt;&gt;"",F54&lt;TODAY()),"Overdue",IF(E54="Sent to client","Waiting on client","On track"))))</f>
        <v/>
      </c>
      <c r="L54" s="2"/>
    </row>
    <row r="55" spans="1:12">
      <c r="A55" s="2"/>
      <c r="B55" s="2"/>
      <c r="C55" s="2"/>
      <c r="D55" s="2"/>
      <c r="E55" s="2"/>
      <c r="F55" s="3"/>
      <c r="G55" s="3"/>
      <c r="H55" s="3"/>
      <c r="I55" s="2"/>
      <c r="J55" s="2" t="str">
        <f ca="1">IF(OR(F55="",E55="Approved"),"",MAX(0,TODAY()-F55))</f>
        <v/>
      </c>
      <c r="K55" s="2" t="str">
        <f ca="1">IF(E55="","",IF(E55="Approved","Done",IF(AND(F55&lt;&gt;"",F55&lt;TODAY()),"Overdue",IF(E55="Sent to client","Waiting on client","On track"))))</f>
        <v/>
      </c>
      <c r="L55" s="2"/>
    </row>
    <row r="56" spans="1:12">
      <c r="A56" s="2"/>
      <c r="B56" s="2"/>
      <c r="C56" s="2"/>
      <c r="D56" s="2"/>
      <c r="E56" s="2"/>
      <c r="F56" s="3"/>
      <c r="G56" s="3"/>
      <c r="H56" s="3"/>
      <c r="I56" s="2"/>
      <c r="J56" s="2" t="str">
        <f ca="1">IF(OR(F56="",E56="Approved"),"",MAX(0,TODAY()-F56))</f>
        <v/>
      </c>
      <c r="K56" s="2" t="str">
        <f ca="1">IF(E56="","",IF(E56="Approved","Done",IF(AND(F56&lt;&gt;"",F56&lt;TODAY()),"Overdue",IF(E56="Sent to client","Waiting on client","On track"))))</f>
        <v/>
      </c>
      <c r="L56" s="2"/>
    </row>
    <row r="57" spans="1:12">
      <c r="A57" s="2"/>
      <c r="B57" s="2"/>
      <c r="C57" s="2"/>
      <c r="D57" s="2"/>
      <c r="E57" s="2"/>
      <c r="F57" s="3"/>
      <c r="G57" s="3"/>
      <c r="H57" s="3"/>
      <c r="I57" s="2"/>
      <c r="J57" s="2" t="str">
        <f ca="1">IF(OR(F57="",E57="Approved"),"",MAX(0,TODAY()-F57))</f>
        <v/>
      </c>
      <c r="K57" s="2" t="str">
        <f ca="1">IF(E57="","",IF(E57="Approved","Done",IF(AND(F57&lt;&gt;"",F57&lt;TODAY()),"Overdue",IF(E57="Sent to client","Waiting on client","On track"))))</f>
        <v/>
      </c>
      <c r="L57" s="2"/>
    </row>
    <row r="58" spans="1:12">
      <c r="A58" s="2"/>
      <c r="B58" s="2"/>
      <c r="C58" s="2"/>
      <c r="D58" s="2"/>
      <c r="E58" s="2"/>
      <c r="F58" s="3"/>
      <c r="G58" s="3"/>
      <c r="H58" s="3"/>
      <c r="I58" s="2"/>
      <c r="J58" s="2" t="str">
        <f ca="1">IF(OR(F58="",E58="Approved"),"",MAX(0,TODAY()-F58))</f>
        <v/>
      </c>
      <c r="K58" s="2" t="str">
        <f ca="1">IF(E58="","",IF(E58="Approved","Done",IF(AND(F58&lt;&gt;"",F58&lt;TODAY()),"Overdue",IF(E58="Sent to client","Waiting on client","On track"))))</f>
        <v/>
      </c>
      <c r="L58" s="2"/>
    </row>
    <row r="59" spans="1:12">
      <c r="A59" s="2"/>
      <c r="B59" s="2"/>
      <c r="C59" s="2"/>
      <c r="D59" s="2"/>
      <c r="E59" s="2"/>
      <c r="F59" s="3"/>
      <c r="G59" s="3"/>
      <c r="H59" s="3"/>
      <c r="I59" s="2"/>
      <c r="J59" s="2" t="str">
        <f ca="1">IF(OR(F59="",E59="Approved"),"",MAX(0,TODAY()-F59))</f>
        <v/>
      </c>
      <c r="K59" s="2" t="str">
        <f ca="1">IF(E59="","",IF(E59="Approved","Done",IF(AND(F59&lt;&gt;"",F59&lt;TODAY()),"Overdue",IF(E59="Sent to client","Waiting on client","On track"))))</f>
        <v/>
      </c>
      <c r="L59" s="2"/>
    </row>
    <row r="60" spans="1:12">
      <c r="A60" s="2"/>
      <c r="B60" s="2"/>
      <c r="C60" s="2"/>
      <c r="D60" s="2"/>
      <c r="E60" s="2"/>
      <c r="F60" s="3"/>
      <c r="G60" s="3"/>
      <c r="H60" s="3"/>
      <c r="I60" s="2"/>
      <c r="J60" s="2" t="str">
        <f ca="1">IF(OR(F60="",E60="Approved"),"",MAX(0,TODAY()-F60))</f>
        <v/>
      </c>
      <c r="K60" s="2" t="str">
        <f ca="1">IF(E60="","",IF(E60="Approved","Done",IF(AND(F60&lt;&gt;"",F60&lt;TODAY()),"Overdue",IF(E60="Sent to client","Waiting on client","On track"))))</f>
        <v/>
      </c>
      <c r="L60" s="2"/>
    </row>
    <row r="61" spans="1:12">
      <c r="A61" s="2"/>
      <c r="B61" s="2"/>
      <c r="C61" s="2"/>
      <c r="D61" s="2"/>
      <c r="E61" s="2"/>
      <c r="F61" s="3"/>
      <c r="G61" s="3"/>
      <c r="H61" s="3"/>
      <c r="I61" s="2"/>
      <c r="J61" s="2" t="str">
        <f ca="1">IF(OR(F61="",E61="Approved"),"",MAX(0,TODAY()-F61))</f>
        <v/>
      </c>
      <c r="K61" s="2" t="str">
        <f ca="1">IF(E61="","",IF(E61="Approved","Done",IF(AND(F61&lt;&gt;"",F61&lt;TODAY()),"Overdue",IF(E61="Sent to client","Waiting on client","On track"))))</f>
        <v/>
      </c>
      <c r="L61" s="2"/>
    </row>
    <row r="62" spans="1:12">
      <c r="A62" s="2"/>
      <c r="B62" s="2"/>
      <c r="C62" s="2"/>
      <c r="D62" s="2"/>
      <c r="E62" s="2"/>
      <c r="F62" s="3"/>
      <c r="G62" s="3"/>
      <c r="H62" s="3"/>
      <c r="I62" s="2"/>
      <c r="J62" s="2" t="str">
        <f ca="1">IF(OR(F62="",E62="Approved"),"",MAX(0,TODAY()-F62))</f>
        <v/>
      </c>
      <c r="K62" s="2" t="str">
        <f ca="1">IF(E62="","",IF(E62="Approved","Done",IF(AND(F62&lt;&gt;"",F62&lt;TODAY()),"Overdue",IF(E62="Sent to client","Waiting on client","On track"))))</f>
        <v/>
      </c>
      <c r="L62" s="2"/>
    </row>
    <row r="63" spans="1:12">
      <c r="A63" s="2"/>
      <c r="B63" s="2"/>
      <c r="C63" s="2"/>
      <c r="D63" s="2"/>
      <c r="E63" s="2"/>
      <c r="F63" s="3"/>
      <c r="G63" s="3"/>
      <c r="H63" s="3"/>
      <c r="I63" s="2"/>
      <c r="J63" s="2" t="str">
        <f ca="1">IF(OR(F63="",E63="Approved"),"",MAX(0,TODAY()-F63))</f>
        <v/>
      </c>
      <c r="K63" s="2" t="str">
        <f ca="1">IF(E63="","",IF(E63="Approved","Done",IF(AND(F63&lt;&gt;"",F63&lt;TODAY()),"Overdue",IF(E63="Sent to client","Waiting on client","On track"))))</f>
        <v/>
      </c>
      <c r="L63" s="2"/>
    </row>
    <row r="64" spans="1:12">
      <c r="A64" s="2"/>
      <c r="B64" s="2"/>
      <c r="C64" s="2"/>
      <c r="D64" s="2"/>
      <c r="E64" s="2"/>
      <c r="F64" s="3"/>
      <c r="G64" s="3"/>
      <c r="H64" s="3"/>
      <c r="I64" s="2"/>
      <c r="J64" s="2" t="str">
        <f ca="1">IF(OR(F64="",E64="Approved"),"",MAX(0,TODAY()-F64))</f>
        <v/>
      </c>
      <c r="K64" s="2" t="str">
        <f ca="1">IF(E64="","",IF(E64="Approved","Done",IF(AND(F64&lt;&gt;"",F64&lt;TODAY()),"Overdue",IF(E64="Sent to client","Waiting on client","On track"))))</f>
        <v/>
      </c>
      <c r="L64" s="2"/>
    </row>
    <row r="65" spans="1:12">
      <c r="A65" s="2"/>
      <c r="B65" s="2"/>
      <c r="C65" s="2"/>
      <c r="D65" s="2"/>
      <c r="E65" s="2"/>
      <c r="F65" s="3"/>
      <c r="G65" s="3"/>
      <c r="H65" s="3"/>
      <c r="I65" s="2"/>
      <c r="J65" s="2" t="str">
        <f ca="1">IF(OR(F65="",E65="Approved"),"",MAX(0,TODAY()-F65))</f>
        <v/>
      </c>
      <c r="K65" s="2" t="str">
        <f ca="1">IF(E65="","",IF(E65="Approved","Done",IF(AND(F65&lt;&gt;"",F65&lt;TODAY()),"Overdue",IF(E65="Sent to client","Waiting on client","On track"))))</f>
        <v/>
      </c>
      <c r="L65" s="2"/>
    </row>
    <row r="66" spans="1:12">
      <c r="A66" s="2"/>
      <c r="B66" s="2"/>
      <c r="C66" s="2"/>
      <c r="D66" s="2"/>
      <c r="E66" s="2"/>
      <c r="F66" s="3"/>
      <c r="G66" s="3"/>
      <c r="H66" s="3"/>
      <c r="I66" s="2"/>
      <c r="J66" s="2" t="str">
        <f ca="1">IF(OR(F66="",E66="Approved"),"",MAX(0,TODAY()-F66))</f>
        <v/>
      </c>
      <c r="K66" s="2" t="str">
        <f ca="1">IF(E66="","",IF(E66="Approved","Done",IF(AND(F66&lt;&gt;"",F66&lt;TODAY()),"Overdue",IF(E66="Sent to client","Waiting on client","On track"))))</f>
        <v/>
      </c>
      <c r="L66" s="2"/>
    </row>
    <row r="67" spans="1:12">
      <c r="A67" s="2"/>
      <c r="B67" s="2"/>
      <c r="C67" s="2"/>
      <c r="D67" s="2"/>
      <c r="E67" s="2"/>
      <c r="F67" s="3"/>
      <c r="G67" s="3"/>
      <c r="H67" s="3"/>
      <c r="I67" s="2"/>
      <c r="J67" s="2" t="str">
        <f ca="1">IF(OR(F67="",E67="Approved"),"",MAX(0,TODAY()-F67))</f>
        <v/>
      </c>
      <c r="K67" s="2" t="str">
        <f ca="1">IF(E67="","",IF(E67="Approved","Done",IF(AND(F67&lt;&gt;"",F67&lt;TODAY()),"Overdue",IF(E67="Sent to client","Waiting on client","On track"))))</f>
        <v/>
      </c>
      <c r="L67" s="2"/>
    </row>
    <row r="68" spans="1:12">
      <c r="A68" s="2"/>
      <c r="B68" s="2"/>
      <c r="C68" s="2"/>
      <c r="D68" s="2"/>
      <c r="E68" s="2"/>
      <c r="F68" s="3"/>
      <c r="G68" s="3"/>
      <c r="H68" s="3"/>
      <c r="I68" s="2"/>
      <c r="J68" s="2" t="str">
        <f ca="1">IF(OR(F68="",E68="Approved"),"",MAX(0,TODAY()-F68))</f>
        <v/>
      </c>
      <c r="K68" s="2" t="str">
        <f ca="1">IF(E68="","",IF(E68="Approved","Done",IF(AND(F68&lt;&gt;"",F68&lt;TODAY()),"Overdue",IF(E68="Sent to client","Waiting on client","On track"))))</f>
        <v/>
      </c>
      <c r="L68" s="2"/>
    </row>
    <row r="69" spans="1:12">
      <c r="A69" s="2"/>
      <c r="B69" s="2"/>
      <c r="C69" s="2"/>
      <c r="D69" s="2"/>
      <c r="E69" s="2"/>
      <c r="F69" s="3"/>
      <c r="G69" s="3"/>
      <c r="H69" s="3"/>
      <c r="I69" s="2"/>
      <c r="J69" s="2" t="str">
        <f ca="1">IF(OR(F69="",E69="Approved"),"",MAX(0,TODAY()-F69))</f>
        <v/>
      </c>
      <c r="K69" s="2" t="str">
        <f ca="1">IF(E69="","",IF(E69="Approved","Done",IF(AND(F69&lt;&gt;"",F69&lt;TODAY()),"Overdue",IF(E69="Sent to client","Waiting on client","On track"))))</f>
        <v/>
      </c>
      <c r="L69" s="2"/>
    </row>
    <row r="70" spans="1:12">
      <c r="A70" s="2"/>
      <c r="B70" s="2"/>
      <c r="C70" s="2"/>
      <c r="D70" s="2"/>
      <c r="E70" s="2"/>
      <c r="F70" s="3"/>
      <c r="G70" s="3"/>
      <c r="H70" s="3"/>
      <c r="I70" s="2"/>
      <c r="J70" s="2" t="str">
        <f ca="1">IF(OR(F70="",E70="Approved"),"",MAX(0,TODAY()-F70))</f>
        <v/>
      </c>
      <c r="K70" s="2" t="str">
        <f ca="1">IF(E70="","",IF(E70="Approved","Done",IF(AND(F70&lt;&gt;"",F70&lt;TODAY()),"Overdue",IF(E70="Sent to client","Waiting on client","On track"))))</f>
        <v/>
      </c>
      <c r="L70" s="2"/>
    </row>
    <row r="71" spans="1:12">
      <c r="A71" s="2"/>
      <c r="B71" s="2"/>
      <c r="C71" s="2"/>
      <c r="D71" s="2"/>
      <c r="E71" s="2"/>
      <c r="F71" s="3"/>
      <c r="G71" s="3"/>
      <c r="H71" s="3"/>
      <c r="I71" s="2"/>
      <c r="J71" s="2" t="str">
        <f ca="1">IF(OR(F71="",E71="Approved"),"",MAX(0,TODAY()-F71))</f>
        <v/>
      </c>
      <c r="K71" s="2" t="str">
        <f ca="1">IF(E71="","",IF(E71="Approved","Done",IF(AND(F71&lt;&gt;"",F71&lt;TODAY()),"Overdue",IF(E71="Sent to client","Waiting on client","On track"))))</f>
        <v/>
      </c>
      <c r="L71" s="2"/>
    </row>
    <row r="72" spans="1:12">
      <c r="A72" s="2"/>
      <c r="B72" s="2"/>
      <c r="C72" s="2"/>
      <c r="D72" s="2"/>
      <c r="E72" s="2"/>
      <c r="F72" s="3"/>
      <c r="G72" s="3"/>
      <c r="H72" s="3"/>
      <c r="I72" s="2"/>
      <c r="J72" s="2" t="str">
        <f ca="1">IF(OR(F72="",E72="Approved"),"",MAX(0,TODAY()-F72))</f>
        <v/>
      </c>
      <c r="K72" s="2" t="str">
        <f ca="1">IF(E72="","",IF(E72="Approved","Done",IF(AND(F72&lt;&gt;"",F72&lt;TODAY()),"Overdue",IF(E72="Sent to client","Waiting on client","On track"))))</f>
        <v/>
      </c>
      <c r="L72" s="2"/>
    </row>
    <row r="73" spans="1:12">
      <c r="A73" s="2"/>
      <c r="B73" s="2"/>
      <c r="C73" s="2"/>
      <c r="D73" s="2"/>
      <c r="E73" s="2"/>
      <c r="F73" s="3"/>
      <c r="G73" s="3"/>
      <c r="H73" s="3"/>
      <c r="I73" s="2"/>
      <c r="J73" s="2" t="str">
        <f ca="1">IF(OR(F73="",E73="Approved"),"",MAX(0,TODAY()-F73))</f>
        <v/>
      </c>
      <c r="K73" s="2" t="str">
        <f ca="1">IF(E73="","",IF(E73="Approved","Done",IF(AND(F73&lt;&gt;"",F73&lt;TODAY()),"Overdue",IF(E73="Sent to client","Waiting on client","On track"))))</f>
        <v/>
      </c>
      <c r="L73" s="2"/>
    </row>
    <row r="74" spans="1:12">
      <c r="A74" s="2"/>
      <c r="B74" s="2"/>
      <c r="C74" s="2"/>
      <c r="D74" s="2"/>
      <c r="E74" s="2"/>
      <c r="F74" s="3"/>
      <c r="G74" s="3"/>
      <c r="H74" s="3"/>
      <c r="I74" s="2"/>
      <c r="J74" s="2" t="str">
        <f ca="1">IF(OR(F74="",E74="Approved"),"",MAX(0,TODAY()-F74))</f>
        <v/>
      </c>
      <c r="K74" s="2" t="str">
        <f ca="1">IF(E74="","",IF(E74="Approved","Done",IF(AND(F74&lt;&gt;"",F74&lt;TODAY()),"Overdue",IF(E74="Sent to client","Waiting on client","On track"))))</f>
        <v/>
      </c>
      <c r="L74" s="2"/>
    </row>
    <row r="75" spans="1:12">
      <c r="A75" s="2"/>
      <c r="B75" s="2"/>
      <c r="C75" s="2"/>
      <c r="D75" s="2"/>
      <c r="E75" s="2"/>
      <c r="F75" s="3"/>
      <c r="G75" s="3"/>
      <c r="H75" s="3"/>
      <c r="I75" s="2"/>
      <c r="J75" s="2" t="str">
        <f ca="1">IF(OR(F75="",E75="Approved"),"",MAX(0,TODAY()-F75))</f>
        <v/>
      </c>
      <c r="K75" s="2" t="str">
        <f ca="1">IF(E75="","",IF(E75="Approved","Done",IF(AND(F75&lt;&gt;"",F75&lt;TODAY()),"Overdue",IF(E75="Sent to client","Waiting on client","On track"))))</f>
        <v/>
      </c>
      <c r="L75" s="2"/>
    </row>
    <row r="76" spans="1:12">
      <c r="A76" s="2"/>
      <c r="B76" s="2"/>
      <c r="C76" s="2"/>
      <c r="D76" s="2"/>
      <c r="E76" s="2"/>
      <c r="F76" s="3"/>
      <c r="G76" s="3"/>
      <c r="H76" s="3"/>
      <c r="I76" s="2"/>
      <c r="J76" s="2" t="str">
        <f ca="1">IF(OR(F76="",E76="Approved"),"",MAX(0,TODAY()-F76))</f>
        <v/>
      </c>
      <c r="K76" s="2" t="str">
        <f ca="1">IF(E76="","",IF(E76="Approved","Done",IF(AND(F76&lt;&gt;"",F76&lt;TODAY()),"Overdue",IF(E76="Sent to client","Waiting on client","On track"))))</f>
        <v/>
      </c>
      <c r="L76" s="2"/>
    </row>
    <row r="77" spans="1:12">
      <c r="A77" s="2"/>
      <c r="B77" s="2"/>
      <c r="C77" s="2"/>
      <c r="D77" s="2"/>
      <c r="E77" s="2"/>
      <c r="F77" s="3"/>
      <c r="G77" s="3"/>
      <c r="H77" s="3"/>
      <c r="I77" s="2"/>
      <c r="J77" s="2" t="str">
        <f ca="1">IF(OR(F77="",E77="Approved"),"",MAX(0,TODAY()-F77))</f>
        <v/>
      </c>
      <c r="K77" s="2" t="str">
        <f ca="1">IF(E77="","",IF(E77="Approved","Done",IF(AND(F77&lt;&gt;"",F77&lt;TODAY()),"Overdue",IF(E77="Sent to client","Waiting on client","On track"))))</f>
        <v/>
      </c>
      <c r="L77" s="2"/>
    </row>
    <row r="78" spans="1:12">
      <c r="A78" s="2"/>
      <c r="B78" s="2"/>
      <c r="C78" s="2"/>
      <c r="D78" s="2"/>
      <c r="E78" s="2"/>
      <c r="F78" s="3"/>
      <c r="G78" s="3"/>
      <c r="H78" s="3"/>
      <c r="I78" s="2"/>
      <c r="J78" s="2" t="str">
        <f ca="1">IF(OR(F78="",E78="Approved"),"",MAX(0,TODAY()-F78))</f>
        <v/>
      </c>
      <c r="K78" s="2" t="str">
        <f ca="1">IF(E78="","",IF(E78="Approved","Done",IF(AND(F78&lt;&gt;"",F78&lt;TODAY()),"Overdue",IF(E78="Sent to client","Waiting on client","On track"))))</f>
        <v/>
      </c>
      <c r="L78" s="2"/>
    </row>
    <row r="79" spans="1:12">
      <c r="A79" s="2"/>
      <c r="B79" s="2"/>
      <c r="C79" s="2"/>
      <c r="D79" s="2"/>
      <c r="E79" s="2"/>
      <c r="F79" s="3"/>
      <c r="G79" s="3"/>
      <c r="H79" s="3"/>
      <c r="I79" s="2"/>
      <c r="J79" s="2" t="str">
        <f ca="1">IF(OR(F79="",E79="Approved"),"",MAX(0,TODAY()-F79))</f>
        <v/>
      </c>
      <c r="K79" s="2" t="str">
        <f ca="1">IF(E79="","",IF(E79="Approved","Done",IF(AND(F79&lt;&gt;"",F79&lt;TODAY()),"Overdue",IF(E79="Sent to client","Waiting on client","On track"))))</f>
        <v/>
      </c>
      <c r="L79" s="2"/>
    </row>
    <row r="80" spans="1:12">
      <c r="A80" s="2"/>
      <c r="B80" s="2"/>
      <c r="C80" s="2"/>
      <c r="D80" s="2"/>
      <c r="E80" s="2"/>
      <c r="F80" s="3"/>
      <c r="G80" s="3"/>
      <c r="H80" s="3"/>
      <c r="I80" s="2"/>
      <c r="J80" s="2" t="str">
        <f ca="1">IF(OR(F80="",E80="Approved"),"",MAX(0,TODAY()-F80))</f>
        <v/>
      </c>
      <c r="K80" s="2" t="str">
        <f ca="1">IF(E80="","",IF(E80="Approved","Done",IF(AND(F80&lt;&gt;"",F80&lt;TODAY()),"Overdue",IF(E80="Sent to client","Waiting on client","On track"))))</f>
        <v/>
      </c>
      <c r="L80" s="2"/>
    </row>
    <row r="81" spans="1:12">
      <c r="A81" s="2"/>
      <c r="B81" s="2"/>
      <c r="C81" s="2"/>
      <c r="D81" s="2"/>
      <c r="E81" s="2"/>
      <c r="F81" s="3"/>
      <c r="G81" s="3"/>
      <c r="H81" s="3"/>
      <c r="I81" s="2"/>
      <c r="J81" s="2" t="str">
        <f ca="1">IF(OR(F81="",E81="Approved"),"",MAX(0,TODAY()-F81))</f>
        <v/>
      </c>
      <c r="K81" s="2" t="str">
        <f ca="1">IF(E81="","",IF(E81="Approved","Done",IF(AND(F81&lt;&gt;"",F81&lt;TODAY()),"Overdue",IF(E81="Sent to client","Waiting on client","On track"))))</f>
        <v/>
      </c>
      <c r="L81" s="2"/>
    </row>
    <row r="82" spans="1:12">
      <c r="A82" s="2"/>
      <c r="B82" s="2"/>
      <c r="C82" s="2"/>
      <c r="D82" s="2"/>
      <c r="E82" s="2"/>
      <c r="F82" s="3"/>
      <c r="G82" s="3"/>
      <c r="H82" s="3"/>
      <c r="I82" s="2"/>
      <c r="J82" s="2" t="str">
        <f ca="1">IF(OR(F82="",E82="Approved"),"",MAX(0,TODAY()-F82))</f>
        <v/>
      </c>
      <c r="K82" s="2" t="str">
        <f ca="1">IF(E82="","",IF(E82="Approved","Done",IF(AND(F82&lt;&gt;"",F82&lt;TODAY()),"Overdue",IF(E82="Sent to client","Waiting on client","On track"))))</f>
        <v/>
      </c>
      <c r="L82" s="2"/>
    </row>
    <row r="83" spans="1:12">
      <c r="A83" s="2"/>
      <c r="B83" s="2"/>
      <c r="C83" s="2"/>
      <c r="D83" s="2"/>
      <c r="E83" s="2"/>
      <c r="F83" s="3"/>
      <c r="G83" s="3"/>
      <c r="H83" s="3"/>
      <c r="I83" s="2"/>
      <c r="J83" s="2" t="str">
        <f ca="1">IF(OR(F83="",E83="Approved"),"",MAX(0,TODAY()-F83))</f>
        <v/>
      </c>
      <c r="K83" s="2" t="str">
        <f ca="1">IF(E83="","",IF(E83="Approved","Done",IF(AND(F83&lt;&gt;"",F83&lt;TODAY()),"Overdue",IF(E83="Sent to client","Waiting on client","On track"))))</f>
        <v/>
      </c>
      <c r="L83" s="2"/>
    </row>
    <row r="84" spans="1:12">
      <c r="A84" s="2"/>
      <c r="B84" s="2"/>
      <c r="C84" s="2"/>
      <c r="D84" s="2"/>
      <c r="E84" s="2"/>
      <c r="F84" s="3"/>
      <c r="G84" s="3"/>
      <c r="H84" s="3"/>
      <c r="I84" s="2"/>
      <c r="J84" s="2" t="str">
        <f ca="1">IF(OR(F84="",E84="Approved"),"",MAX(0,TODAY()-F84))</f>
        <v/>
      </c>
      <c r="K84" s="2" t="str">
        <f ca="1">IF(E84="","",IF(E84="Approved","Done",IF(AND(F84&lt;&gt;"",F84&lt;TODAY()),"Overdue",IF(E84="Sent to client","Waiting on client","On track"))))</f>
        <v/>
      </c>
      <c r="L84" s="2"/>
    </row>
    <row r="85" spans="1:12">
      <c r="A85" s="2"/>
      <c r="B85" s="2"/>
      <c r="C85" s="2"/>
      <c r="D85" s="2"/>
      <c r="E85" s="2"/>
      <c r="F85" s="3"/>
      <c r="G85" s="3"/>
      <c r="H85" s="3"/>
      <c r="I85" s="2"/>
      <c r="J85" s="2" t="str">
        <f ca="1">IF(OR(F85="",E85="Approved"),"",MAX(0,TODAY()-F85))</f>
        <v/>
      </c>
      <c r="K85" s="2" t="str">
        <f ca="1">IF(E85="","",IF(E85="Approved","Done",IF(AND(F85&lt;&gt;"",F85&lt;TODAY()),"Overdue",IF(E85="Sent to client","Waiting on client","On track"))))</f>
        <v/>
      </c>
      <c r="L85" s="2"/>
    </row>
    <row r="86" spans="1:12">
      <c r="A86" s="2"/>
      <c r="B86" s="2"/>
      <c r="C86" s="2"/>
      <c r="D86" s="2"/>
      <c r="E86" s="2"/>
      <c r="F86" s="3"/>
      <c r="G86" s="3"/>
      <c r="H86" s="3"/>
      <c r="I86" s="2"/>
      <c r="J86" s="2" t="str">
        <f ca="1">IF(OR(F86="",E86="Approved"),"",MAX(0,TODAY()-F86))</f>
        <v/>
      </c>
      <c r="K86" s="2" t="str">
        <f ca="1">IF(E86="","",IF(E86="Approved","Done",IF(AND(F86&lt;&gt;"",F86&lt;TODAY()),"Overdue",IF(E86="Sent to client","Waiting on client","On track"))))</f>
        <v/>
      </c>
      <c r="L86" s="2"/>
    </row>
    <row r="87" spans="1:12">
      <c r="A87" s="2"/>
      <c r="B87" s="2"/>
      <c r="C87" s="2"/>
      <c r="D87" s="2"/>
      <c r="E87" s="2"/>
      <c r="F87" s="3"/>
      <c r="G87" s="3"/>
      <c r="H87" s="3"/>
      <c r="I87" s="2"/>
      <c r="J87" s="2" t="str">
        <f ca="1">IF(OR(F87="",E87="Approved"),"",MAX(0,TODAY()-F87))</f>
        <v/>
      </c>
      <c r="K87" s="2" t="str">
        <f ca="1">IF(E87="","",IF(E87="Approved","Done",IF(AND(F87&lt;&gt;"",F87&lt;TODAY()),"Overdue",IF(E87="Sent to client","Waiting on client","On track"))))</f>
        <v/>
      </c>
      <c r="L87" s="2"/>
    </row>
    <row r="88" spans="1:12">
      <c r="A88" s="2"/>
      <c r="B88" s="2"/>
      <c r="C88" s="2"/>
      <c r="D88" s="2"/>
      <c r="E88" s="2"/>
      <c r="F88" s="3"/>
      <c r="G88" s="3"/>
      <c r="H88" s="3"/>
      <c r="I88" s="2"/>
      <c r="J88" s="2" t="str">
        <f ca="1">IF(OR(F88="",E88="Approved"),"",MAX(0,TODAY()-F88))</f>
        <v/>
      </c>
      <c r="K88" s="2" t="str">
        <f ca="1">IF(E88="","",IF(E88="Approved","Done",IF(AND(F88&lt;&gt;"",F88&lt;TODAY()),"Overdue",IF(E88="Sent to client","Waiting on client","On track"))))</f>
        <v/>
      </c>
      <c r="L88" s="2"/>
    </row>
    <row r="89" spans="1:12">
      <c r="A89" s="2"/>
      <c r="B89" s="2"/>
      <c r="C89" s="2"/>
      <c r="D89" s="2"/>
      <c r="E89" s="2"/>
      <c r="F89" s="3"/>
      <c r="G89" s="3"/>
      <c r="H89" s="3"/>
      <c r="I89" s="2"/>
      <c r="J89" s="2" t="str">
        <f ca="1">IF(OR(F89="",E89="Approved"),"",MAX(0,TODAY()-F89))</f>
        <v/>
      </c>
      <c r="K89" s="2" t="str">
        <f ca="1">IF(E89="","",IF(E89="Approved","Done",IF(AND(F89&lt;&gt;"",F89&lt;TODAY()),"Overdue",IF(E89="Sent to client","Waiting on client","On track"))))</f>
        <v/>
      </c>
      <c r="L89" s="2"/>
    </row>
    <row r="90" spans="1:12">
      <c r="A90" s="2"/>
      <c r="B90" s="2"/>
      <c r="C90" s="2"/>
      <c r="D90" s="2"/>
      <c r="E90" s="2"/>
      <c r="F90" s="3"/>
      <c r="G90" s="3"/>
      <c r="H90" s="3"/>
      <c r="I90" s="2"/>
      <c r="J90" s="2" t="str">
        <f ca="1">IF(OR(F90="",E90="Approved"),"",MAX(0,TODAY()-F90))</f>
        <v/>
      </c>
      <c r="K90" s="2" t="str">
        <f ca="1">IF(E90="","",IF(E90="Approved","Done",IF(AND(F90&lt;&gt;"",F90&lt;TODAY()),"Overdue",IF(E90="Sent to client","Waiting on client","On track"))))</f>
        <v/>
      </c>
      <c r="L90" s="2"/>
    </row>
    <row r="91" spans="1:12">
      <c r="A91" s="2"/>
      <c r="B91" s="2"/>
      <c r="C91" s="2"/>
      <c r="D91" s="2"/>
      <c r="E91" s="2"/>
      <c r="F91" s="3"/>
      <c r="G91" s="3"/>
      <c r="H91" s="3"/>
      <c r="I91" s="2"/>
      <c r="J91" s="2" t="str">
        <f ca="1">IF(OR(F91="",E91="Approved"),"",MAX(0,TODAY()-F91))</f>
        <v/>
      </c>
      <c r="K91" s="2" t="str">
        <f ca="1">IF(E91="","",IF(E91="Approved","Done",IF(AND(F91&lt;&gt;"",F91&lt;TODAY()),"Overdue",IF(E91="Sent to client","Waiting on client","On track"))))</f>
        <v/>
      </c>
      <c r="L91" s="2"/>
    </row>
    <row r="92" spans="1:12">
      <c r="A92" s="2"/>
      <c r="B92" s="2"/>
      <c r="C92" s="2"/>
      <c r="D92" s="2"/>
      <c r="E92" s="2"/>
      <c r="F92" s="3"/>
      <c r="G92" s="3"/>
      <c r="H92" s="3"/>
      <c r="I92" s="2"/>
      <c r="J92" s="2" t="str">
        <f ca="1">IF(OR(F92="",E92="Approved"),"",MAX(0,TODAY()-F92))</f>
        <v/>
      </c>
      <c r="K92" s="2" t="str">
        <f ca="1">IF(E92="","",IF(E92="Approved","Done",IF(AND(F92&lt;&gt;"",F92&lt;TODAY()),"Overdue",IF(E92="Sent to client","Waiting on client","On track"))))</f>
        <v/>
      </c>
      <c r="L92" s="2"/>
    </row>
    <row r="93" spans="1:12">
      <c r="A93" s="2"/>
      <c r="B93" s="2"/>
      <c r="C93" s="2"/>
      <c r="D93" s="2"/>
      <c r="E93" s="2"/>
      <c r="F93" s="3"/>
      <c r="G93" s="3"/>
      <c r="H93" s="3"/>
      <c r="I93" s="2"/>
      <c r="J93" s="2" t="str">
        <f ca="1">IF(OR(F93="",E93="Approved"),"",MAX(0,TODAY()-F93))</f>
        <v/>
      </c>
      <c r="K93" s="2" t="str">
        <f ca="1">IF(E93="","",IF(E93="Approved","Done",IF(AND(F93&lt;&gt;"",F93&lt;TODAY()),"Overdue",IF(E93="Sent to client","Waiting on client","On track"))))</f>
        <v/>
      </c>
      <c r="L93" s="2"/>
    </row>
    <row r="94" spans="1:12">
      <c r="A94" s="2"/>
      <c r="B94" s="2"/>
      <c r="C94" s="2"/>
      <c r="D94" s="2"/>
      <c r="E94" s="2"/>
      <c r="F94" s="3"/>
      <c r="G94" s="3"/>
      <c r="H94" s="3"/>
      <c r="I94" s="2"/>
      <c r="J94" s="2" t="str">
        <f ca="1">IF(OR(F94="",E94="Approved"),"",MAX(0,TODAY()-F94))</f>
        <v/>
      </c>
      <c r="K94" s="2" t="str">
        <f ca="1">IF(E94="","",IF(E94="Approved","Done",IF(AND(F94&lt;&gt;"",F94&lt;TODAY()),"Overdue",IF(E94="Sent to client","Waiting on client","On track"))))</f>
        <v/>
      </c>
      <c r="L94" s="2"/>
    </row>
    <row r="95" spans="1:12">
      <c r="A95" s="2"/>
      <c r="B95" s="2"/>
      <c r="C95" s="2"/>
      <c r="D95" s="2"/>
      <c r="E95" s="2"/>
      <c r="F95" s="3"/>
      <c r="G95" s="3"/>
      <c r="H95" s="3"/>
      <c r="I95" s="2"/>
      <c r="J95" s="2" t="str">
        <f ca="1">IF(OR(F95="",E95="Approved"),"",MAX(0,TODAY()-F95))</f>
        <v/>
      </c>
      <c r="K95" s="2" t="str">
        <f ca="1">IF(E95="","",IF(E95="Approved","Done",IF(AND(F95&lt;&gt;"",F95&lt;TODAY()),"Overdue",IF(E95="Sent to client","Waiting on client","On track"))))</f>
        <v/>
      </c>
      <c r="L95" s="2"/>
    </row>
    <row r="96" spans="1:12">
      <c r="A96" s="2"/>
      <c r="B96" s="2"/>
      <c r="C96" s="2"/>
      <c r="D96" s="2"/>
      <c r="E96" s="2"/>
      <c r="F96" s="3"/>
      <c r="G96" s="3"/>
      <c r="H96" s="3"/>
      <c r="I96" s="2"/>
      <c r="J96" s="2" t="str">
        <f ca="1">IF(OR(F96="",E96="Approved"),"",MAX(0,TODAY()-F96))</f>
        <v/>
      </c>
      <c r="K96" s="2" t="str">
        <f ca="1">IF(E96="","",IF(E96="Approved","Done",IF(AND(F96&lt;&gt;"",F96&lt;TODAY()),"Overdue",IF(E96="Sent to client","Waiting on client","On track"))))</f>
        <v/>
      </c>
      <c r="L96" s="2"/>
    </row>
    <row r="97" spans="1:12">
      <c r="A97" s="2"/>
      <c r="B97" s="2"/>
      <c r="C97" s="2"/>
      <c r="D97" s="2"/>
      <c r="E97" s="2"/>
      <c r="F97" s="3"/>
      <c r="G97" s="3"/>
      <c r="H97" s="3"/>
      <c r="I97" s="2"/>
      <c r="J97" s="2" t="str">
        <f ca="1">IF(OR(F97="",E97="Approved"),"",MAX(0,TODAY()-F97))</f>
        <v/>
      </c>
      <c r="K97" s="2" t="str">
        <f ca="1">IF(E97="","",IF(E97="Approved","Done",IF(AND(F97&lt;&gt;"",F97&lt;TODAY()),"Overdue",IF(E97="Sent to client","Waiting on client","On track"))))</f>
        <v/>
      </c>
      <c r="L97" s="2"/>
    </row>
    <row r="98" spans="1:12">
      <c r="A98" s="2"/>
      <c r="B98" s="2"/>
      <c r="C98" s="2"/>
      <c r="D98" s="2"/>
      <c r="E98" s="2"/>
      <c r="F98" s="3"/>
      <c r="G98" s="3"/>
      <c r="H98" s="3"/>
      <c r="I98" s="2"/>
      <c r="J98" s="2" t="str">
        <f ca="1">IF(OR(F98="",E98="Approved"),"",MAX(0,TODAY()-F98))</f>
        <v/>
      </c>
      <c r="K98" s="2" t="str">
        <f ca="1">IF(E98="","",IF(E98="Approved","Done",IF(AND(F98&lt;&gt;"",F98&lt;TODAY()),"Overdue",IF(E98="Sent to client","Waiting on client","On track"))))</f>
        <v/>
      </c>
      <c r="L98" s="2"/>
    </row>
    <row r="99" spans="1:12">
      <c r="A99" s="2"/>
      <c r="B99" s="2"/>
      <c r="C99" s="2"/>
      <c r="D99" s="2"/>
      <c r="E99" s="2"/>
      <c r="F99" s="3"/>
      <c r="G99" s="3"/>
      <c r="H99" s="3"/>
      <c r="I99" s="2"/>
      <c r="J99" s="2" t="str">
        <f ca="1">IF(OR(F99="",E99="Approved"),"",MAX(0,TODAY()-F99))</f>
        <v/>
      </c>
      <c r="K99" s="2" t="str">
        <f ca="1">IF(E99="","",IF(E99="Approved","Done",IF(AND(F99&lt;&gt;"",F99&lt;TODAY()),"Overdue",IF(E99="Sent to client","Waiting on client","On track"))))</f>
        <v/>
      </c>
      <c r="L99" s="2"/>
    </row>
    <row r="100" spans="1:12">
      <c r="A100" s="2"/>
      <c r="B100" s="2"/>
      <c r="C100" s="2"/>
      <c r="D100" s="2"/>
      <c r="E100" s="2"/>
      <c r="F100" s="3"/>
      <c r="G100" s="3"/>
      <c r="H100" s="3"/>
      <c r="I100" s="2"/>
      <c r="J100" s="2" t="str">
        <f ca="1">IF(OR(F100="",E100="Approved"),"",MAX(0,TODAY()-F100))</f>
        <v/>
      </c>
      <c r="K100" s="2" t="str">
        <f ca="1">IF(E100="","",IF(E100="Approved","Done",IF(AND(F100&lt;&gt;"",F100&lt;TODAY()),"Overdue",IF(E100="Sent to client","Waiting on client","On track"))))</f>
        <v/>
      </c>
      <c r="L100" s="2"/>
    </row>
    <row r="101" spans="1:12">
      <c r="A101" s="2"/>
      <c r="B101" s="2"/>
      <c r="C101" s="2"/>
      <c r="D101" s="2"/>
      <c r="E101" s="2"/>
      <c r="F101" s="3"/>
      <c r="G101" s="3"/>
      <c r="H101" s="3"/>
      <c r="I101" s="2"/>
      <c r="J101" s="2" t="str">
        <f ca="1">IF(OR(F101="",E101="Approved"),"",MAX(0,TODAY()-F101))</f>
        <v/>
      </c>
      <c r="K101" s="2" t="str">
        <f ca="1">IF(E101="","",IF(E101="Approved","Done",IF(AND(F101&lt;&gt;"",F101&lt;TODAY()),"Overdue",IF(E101="Sent to client","Waiting on client","On track"))))</f>
        <v/>
      </c>
      <c r="L101" s="2"/>
    </row>
    <row r="102" spans="1:12">
      <c r="A102" s="2"/>
      <c r="B102" s="2"/>
      <c r="C102" s="2"/>
      <c r="D102" s="2"/>
      <c r="E102" s="2"/>
      <c r="F102" s="3"/>
      <c r="G102" s="3"/>
      <c r="H102" s="3"/>
      <c r="I102" s="2"/>
      <c r="J102" s="2" t="str">
        <f ca="1">IF(OR(F102="",E102="Approved"),"",MAX(0,TODAY()-F102))</f>
        <v/>
      </c>
      <c r="K102" s="2" t="str">
        <f ca="1">IF(E102="","",IF(E102="Approved","Done",IF(AND(F102&lt;&gt;"",F102&lt;TODAY()),"Overdue",IF(E102="Sent to client","Waiting on client","On track"))))</f>
        <v/>
      </c>
      <c r="L102" s="2"/>
    </row>
    <row r="103" spans="1:12">
      <c r="A103" s="2"/>
      <c r="B103" s="2"/>
      <c r="C103" s="2"/>
      <c r="D103" s="2"/>
      <c r="E103" s="2"/>
      <c r="F103" s="3"/>
      <c r="G103" s="3"/>
      <c r="H103" s="3"/>
      <c r="I103" s="2"/>
      <c r="J103" s="2" t="str">
        <f ca="1">IF(OR(F103="",E103="Approved"),"",MAX(0,TODAY()-F103))</f>
        <v/>
      </c>
      <c r="K103" s="2" t="str">
        <f ca="1">IF(E103="","",IF(E103="Approved","Done",IF(AND(F103&lt;&gt;"",F103&lt;TODAY()),"Overdue",IF(E103="Sent to client","Waiting on client","On track"))))</f>
        <v/>
      </c>
      <c r="L103" s="2"/>
    </row>
    <row r="104" spans="1:12">
      <c r="A104" s="2"/>
      <c r="B104" s="2"/>
      <c r="C104" s="2"/>
      <c r="D104" s="2"/>
      <c r="E104" s="2"/>
      <c r="F104" s="3"/>
      <c r="G104" s="3"/>
      <c r="H104" s="3"/>
      <c r="I104" s="2"/>
      <c r="J104" s="2" t="str">
        <f ca="1">IF(OR(F104="",E104="Approved"),"",MAX(0,TODAY()-F104))</f>
        <v/>
      </c>
      <c r="K104" s="2" t="str">
        <f ca="1">IF(E104="","",IF(E104="Approved","Done",IF(AND(F104&lt;&gt;"",F104&lt;TODAY()),"Overdue",IF(E104="Sent to client","Waiting on client","On track"))))</f>
        <v/>
      </c>
      <c r="L104" s="2"/>
    </row>
    <row r="105" spans="1:12">
      <c r="A105" s="2"/>
      <c r="B105" s="2"/>
      <c r="C105" s="2"/>
      <c r="D105" s="2"/>
      <c r="E105" s="2"/>
      <c r="F105" s="3"/>
      <c r="G105" s="3"/>
      <c r="H105" s="3"/>
      <c r="I105" s="2"/>
      <c r="J105" s="2" t="str">
        <f ca="1">IF(OR(F105="",E105="Approved"),"",MAX(0,TODAY()-F105))</f>
        <v/>
      </c>
      <c r="K105" s="2" t="str">
        <f ca="1">IF(E105="","",IF(E105="Approved","Done",IF(AND(F105&lt;&gt;"",F105&lt;TODAY()),"Overdue",IF(E105="Sent to client","Waiting on client","On track"))))</f>
        <v/>
      </c>
      <c r="L105" s="2"/>
    </row>
    <row r="106" spans="1:12">
      <c r="A106" s="2"/>
      <c r="B106" s="2"/>
      <c r="C106" s="2"/>
      <c r="D106" s="2"/>
      <c r="E106" s="2"/>
      <c r="F106" s="3"/>
      <c r="G106" s="3"/>
      <c r="H106" s="3"/>
      <c r="I106" s="2"/>
      <c r="J106" s="2" t="str">
        <f ca="1">IF(OR(F106="",E106="Approved"),"",MAX(0,TODAY()-F106))</f>
        <v/>
      </c>
      <c r="K106" s="2" t="str">
        <f ca="1">IF(E106="","",IF(E106="Approved","Done",IF(AND(F106&lt;&gt;"",F106&lt;TODAY()),"Overdue",IF(E106="Sent to client","Waiting on client","On track"))))</f>
        <v/>
      </c>
      <c r="L106" s="2"/>
    </row>
    <row r="107" spans="1:12">
      <c r="A107" s="2"/>
      <c r="B107" s="2"/>
      <c r="C107" s="2"/>
      <c r="D107" s="2"/>
      <c r="E107" s="2"/>
      <c r="F107" s="3"/>
      <c r="G107" s="3"/>
      <c r="H107" s="3"/>
      <c r="I107" s="2"/>
      <c r="J107" s="2" t="str">
        <f ca="1">IF(OR(F107="",E107="Approved"),"",MAX(0,TODAY()-F107))</f>
        <v/>
      </c>
      <c r="K107" s="2" t="str">
        <f ca="1">IF(E107="","",IF(E107="Approved","Done",IF(AND(F107&lt;&gt;"",F107&lt;TODAY()),"Overdue",IF(E107="Sent to client","Waiting on client","On track"))))</f>
        <v/>
      </c>
      <c r="L107" s="2"/>
    </row>
    <row r="108" spans="1:12">
      <c r="A108" s="2"/>
      <c r="B108" s="2"/>
      <c r="C108" s="2"/>
      <c r="D108" s="2"/>
      <c r="E108" s="2"/>
      <c r="F108" s="3"/>
      <c r="G108" s="3"/>
      <c r="H108" s="3"/>
      <c r="I108" s="2"/>
      <c r="J108" s="2" t="str">
        <f ca="1">IF(OR(F108="",E108="Approved"),"",MAX(0,TODAY()-F108))</f>
        <v/>
      </c>
      <c r="K108" s="2" t="str">
        <f ca="1">IF(E108="","",IF(E108="Approved","Done",IF(AND(F108&lt;&gt;"",F108&lt;TODAY()),"Overdue",IF(E108="Sent to client","Waiting on client","On track"))))</f>
        <v/>
      </c>
      <c r="L108" s="2"/>
    </row>
    <row r="109" spans="1:12">
      <c r="A109" s="2"/>
      <c r="B109" s="2"/>
      <c r="C109" s="2"/>
      <c r="D109" s="2"/>
      <c r="E109" s="2"/>
      <c r="F109" s="3"/>
      <c r="G109" s="3"/>
      <c r="H109" s="3"/>
      <c r="I109" s="2"/>
      <c r="J109" s="2" t="str">
        <f ca="1">IF(OR(F109="",E109="Approved"),"",MAX(0,TODAY()-F109))</f>
        <v/>
      </c>
      <c r="K109" s="2" t="str">
        <f ca="1">IF(E109="","",IF(E109="Approved","Done",IF(AND(F109&lt;&gt;"",F109&lt;TODAY()),"Overdue",IF(E109="Sent to client","Waiting on client","On track"))))</f>
        <v/>
      </c>
      <c r="L109" s="2"/>
    </row>
    <row r="110" spans="1:12">
      <c r="A110" s="2"/>
      <c r="B110" s="2"/>
      <c r="C110" s="2"/>
      <c r="D110" s="2"/>
      <c r="E110" s="2"/>
      <c r="F110" s="3"/>
      <c r="G110" s="3"/>
      <c r="H110" s="3"/>
      <c r="I110" s="2"/>
      <c r="J110" s="2" t="str">
        <f ca="1">IF(OR(F110="",E110="Approved"),"",MAX(0,TODAY()-F110))</f>
        <v/>
      </c>
      <c r="K110" s="2" t="str">
        <f ca="1">IF(E110="","",IF(E110="Approved","Done",IF(AND(F110&lt;&gt;"",F110&lt;TODAY()),"Overdue",IF(E110="Sent to client","Waiting on client","On track"))))</f>
        <v/>
      </c>
      <c r="L110" s="2"/>
    </row>
    <row r="111" spans="1:12">
      <c r="A111" s="2"/>
      <c r="B111" s="2"/>
      <c r="C111" s="2"/>
      <c r="D111" s="2"/>
      <c r="E111" s="2"/>
      <c r="F111" s="3"/>
      <c r="G111" s="3"/>
      <c r="H111" s="3"/>
      <c r="I111" s="2"/>
      <c r="J111" s="2" t="str">
        <f ca="1">IF(OR(F111="",E111="Approved"),"",MAX(0,TODAY()-F111))</f>
        <v/>
      </c>
      <c r="K111" s="2" t="str">
        <f ca="1">IF(E111="","",IF(E111="Approved","Done",IF(AND(F111&lt;&gt;"",F111&lt;TODAY()),"Overdue",IF(E111="Sent to client","Waiting on client","On track"))))</f>
        <v/>
      </c>
      <c r="L111" s="2"/>
    </row>
    <row r="112" spans="1:12">
      <c r="A112" s="2"/>
      <c r="B112" s="2"/>
      <c r="C112" s="2"/>
      <c r="D112" s="2"/>
      <c r="E112" s="2"/>
      <c r="F112" s="3"/>
      <c r="G112" s="3"/>
      <c r="H112" s="3"/>
      <c r="I112" s="2"/>
      <c r="J112" s="2" t="str">
        <f ca="1">IF(OR(F112="",E112="Approved"),"",MAX(0,TODAY()-F112))</f>
        <v/>
      </c>
      <c r="K112" s="2" t="str">
        <f ca="1">IF(E112="","",IF(E112="Approved","Done",IF(AND(F112&lt;&gt;"",F112&lt;TODAY()),"Overdue",IF(E112="Sent to client","Waiting on client","On track"))))</f>
        <v/>
      </c>
      <c r="L112" s="2"/>
    </row>
    <row r="113" spans="1:12">
      <c r="A113" s="2"/>
      <c r="B113" s="2"/>
      <c r="C113" s="2"/>
      <c r="D113" s="2"/>
      <c r="E113" s="2"/>
      <c r="F113" s="3"/>
      <c r="G113" s="3"/>
      <c r="H113" s="3"/>
      <c r="I113" s="2"/>
      <c r="J113" s="2" t="str">
        <f ca="1">IF(OR(F113="",E113="Approved"),"",MAX(0,TODAY()-F113))</f>
        <v/>
      </c>
      <c r="K113" s="2" t="str">
        <f ca="1">IF(E113="","",IF(E113="Approved","Done",IF(AND(F113&lt;&gt;"",F113&lt;TODAY()),"Overdue",IF(E113="Sent to client","Waiting on client","On track"))))</f>
        <v/>
      </c>
      <c r="L113" s="2"/>
    </row>
    <row r="114" spans="1:12">
      <c r="A114" s="2"/>
      <c r="B114" s="2"/>
      <c r="C114" s="2"/>
      <c r="D114" s="2"/>
      <c r="E114" s="2"/>
      <c r="F114" s="3"/>
      <c r="G114" s="3"/>
      <c r="H114" s="3"/>
      <c r="I114" s="2"/>
      <c r="J114" s="2" t="str">
        <f ca="1">IF(OR(F114="",E114="Approved"),"",MAX(0,TODAY()-F114))</f>
        <v/>
      </c>
      <c r="K114" s="2" t="str">
        <f ca="1">IF(E114="","",IF(E114="Approved","Done",IF(AND(F114&lt;&gt;"",F114&lt;TODAY()),"Overdue",IF(E114="Sent to client","Waiting on client","On track"))))</f>
        <v/>
      </c>
      <c r="L114" s="2"/>
    </row>
    <row r="115" spans="1:12">
      <c r="A115" s="2"/>
      <c r="B115" s="2"/>
      <c r="C115" s="2"/>
      <c r="D115" s="2"/>
      <c r="E115" s="2"/>
      <c r="F115" s="3"/>
      <c r="G115" s="3"/>
      <c r="H115" s="3"/>
      <c r="I115" s="2"/>
      <c r="J115" s="2" t="str">
        <f ca="1">IF(OR(F115="",E115="Approved"),"",MAX(0,TODAY()-F115))</f>
        <v/>
      </c>
      <c r="K115" s="2" t="str">
        <f ca="1">IF(E115="","",IF(E115="Approved","Done",IF(AND(F115&lt;&gt;"",F115&lt;TODAY()),"Overdue",IF(E115="Sent to client","Waiting on client","On track"))))</f>
        <v/>
      </c>
      <c r="L115" s="2"/>
    </row>
    <row r="116" spans="1:12">
      <c r="A116" s="2"/>
      <c r="B116" s="2"/>
      <c r="C116" s="2"/>
      <c r="D116" s="2"/>
      <c r="E116" s="2"/>
      <c r="F116" s="3"/>
      <c r="G116" s="3"/>
      <c r="H116" s="3"/>
      <c r="I116" s="2"/>
      <c r="J116" s="2" t="str">
        <f ca="1">IF(OR(F116="",E116="Approved"),"",MAX(0,TODAY()-F116))</f>
        <v/>
      </c>
      <c r="K116" s="2" t="str">
        <f ca="1">IF(E116="","",IF(E116="Approved","Done",IF(AND(F116&lt;&gt;"",F116&lt;TODAY()),"Overdue",IF(E116="Sent to client","Waiting on client","On track"))))</f>
        <v/>
      </c>
      <c r="L116" s="2"/>
    </row>
    <row r="117" spans="1:12">
      <c r="A117" s="2"/>
      <c r="B117" s="2"/>
      <c r="C117" s="2"/>
      <c r="D117" s="2"/>
      <c r="E117" s="2"/>
      <c r="F117" s="3"/>
      <c r="G117" s="3"/>
      <c r="H117" s="3"/>
      <c r="I117" s="2"/>
      <c r="J117" s="2" t="str">
        <f ca="1">IF(OR(F117="",E117="Approved"),"",MAX(0,TODAY()-F117))</f>
        <v/>
      </c>
      <c r="K117" s="2" t="str">
        <f ca="1">IF(E117="","",IF(E117="Approved","Done",IF(AND(F117&lt;&gt;"",F117&lt;TODAY()),"Overdue",IF(E117="Sent to client","Waiting on client","On track"))))</f>
        <v/>
      </c>
      <c r="L117" s="2"/>
    </row>
    <row r="118" spans="1:12">
      <c r="A118" s="2"/>
      <c r="B118" s="2"/>
      <c r="C118" s="2"/>
      <c r="D118" s="2"/>
      <c r="E118" s="2"/>
      <c r="F118" s="3"/>
      <c r="G118" s="3"/>
      <c r="H118" s="3"/>
      <c r="I118" s="2"/>
      <c r="J118" s="2" t="str">
        <f ca="1">IF(OR(F118="",E118="Approved"),"",MAX(0,TODAY()-F118))</f>
        <v/>
      </c>
      <c r="K118" s="2" t="str">
        <f ca="1">IF(E118="","",IF(E118="Approved","Done",IF(AND(F118&lt;&gt;"",F118&lt;TODAY()),"Overdue",IF(E118="Sent to client","Waiting on client","On track"))))</f>
        <v/>
      </c>
      <c r="L118" s="2"/>
    </row>
    <row r="119" spans="1:12">
      <c r="A119" s="2"/>
      <c r="B119" s="2"/>
      <c r="C119" s="2"/>
      <c r="D119" s="2"/>
      <c r="E119" s="2"/>
      <c r="F119" s="3"/>
      <c r="G119" s="3"/>
      <c r="H119" s="3"/>
      <c r="I119" s="2"/>
      <c r="J119" s="2" t="str">
        <f ca="1">IF(OR(F119="",E119="Approved"),"",MAX(0,TODAY()-F119))</f>
        <v/>
      </c>
      <c r="K119" s="2" t="str">
        <f ca="1">IF(E119="","",IF(E119="Approved","Done",IF(AND(F119&lt;&gt;"",F119&lt;TODAY()),"Overdue",IF(E119="Sent to client","Waiting on client","On track"))))</f>
        <v/>
      </c>
      <c r="L119" s="2"/>
    </row>
    <row r="120" spans="1:12">
      <c r="A120" s="2"/>
      <c r="B120" s="2"/>
      <c r="C120" s="2"/>
      <c r="D120" s="2"/>
      <c r="E120" s="2"/>
      <c r="F120" s="3"/>
      <c r="G120" s="3"/>
      <c r="H120" s="3"/>
      <c r="I120" s="2"/>
      <c r="J120" s="2" t="str">
        <f ca="1">IF(OR(F120="",E120="Approved"),"",MAX(0,TODAY()-F120))</f>
        <v/>
      </c>
      <c r="K120" s="2" t="str">
        <f ca="1">IF(E120="","",IF(E120="Approved","Done",IF(AND(F120&lt;&gt;"",F120&lt;TODAY()),"Overdue",IF(E120="Sent to client","Waiting on client","On track"))))</f>
        <v/>
      </c>
      <c r="L120" s="2"/>
    </row>
    <row r="121" spans="1:12">
      <c r="A121" s="2"/>
      <c r="B121" s="2"/>
      <c r="C121" s="2"/>
      <c r="D121" s="2"/>
      <c r="E121" s="2"/>
      <c r="F121" s="3"/>
      <c r="G121" s="3"/>
      <c r="H121" s="3"/>
      <c r="I121" s="2"/>
      <c r="J121" s="2" t="str">
        <f ca="1">IF(OR(F121="",E121="Approved"),"",MAX(0,TODAY()-F121))</f>
        <v/>
      </c>
      <c r="K121" s="2" t="str">
        <f ca="1">IF(E121="","",IF(E121="Approved","Done",IF(AND(F121&lt;&gt;"",F121&lt;TODAY()),"Overdue",IF(E121="Sent to client","Waiting on client","On track"))))</f>
        <v/>
      </c>
      <c r="L121" s="2"/>
    </row>
    <row r="122" spans="1:12">
      <c r="A122" s="2"/>
      <c r="B122" s="2"/>
      <c r="C122" s="2"/>
      <c r="D122" s="2"/>
      <c r="E122" s="2"/>
      <c r="F122" s="3"/>
      <c r="G122" s="3"/>
      <c r="H122" s="3"/>
      <c r="I122" s="2"/>
      <c r="J122" s="2" t="str">
        <f ca="1">IF(OR(F122="",E122="Approved"),"",MAX(0,TODAY()-F122))</f>
        <v/>
      </c>
      <c r="K122" s="2" t="str">
        <f ca="1">IF(E122="","",IF(E122="Approved","Done",IF(AND(F122&lt;&gt;"",F122&lt;TODAY()),"Overdue",IF(E122="Sent to client","Waiting on client","On track"))))</f>
        <v/>
      </c>
      <c r="L122" s="2"/>
    </row>
    <row r="123" spans="1:12">
      <c r="A123" s="2"/>
      <c r="B123" s="2"/>
      <c r="C123" s="2"/>
      <c r="D123" s="2"/>
      <c r="E123" s="2"/>
      <c r="F123" s="3"/>
      <c r="G123" s="3"/>
      <c r="H123" s="3"/>
      <c r="I123" s="2"/>
      <c r="J123" s="2" t="str">
        <f ca="1">IF(OR(F123="",E123="Approved"),"",MAX(0,TODAY()-F123))</f>
        <v/>
      </c>
      <c r="K123" s="2" t="str">
        <f ca="1">IF(E123="","",IF(E123="Approved","Done",IF(AND(F123&lt;&gt;"",F123&lt;TODAY()),"Overdue",IF(E123="Sent to client","Waiting on client","On track"))))</f>
        <v/>
      </c>
      <c r="L123" s="2"/>
    </row>
    <row r="124" spans="1:12">
      <c r="A124" s="2"/>
      <c r="B124" s="2"/>
      <c r="C124" s="2"/>
      <c r="D124" s="2"/>
      <c r="E124" s="2"/>
      <c r="F124" s="3"/>
      <c r="G124" s="3"/>
      <c r="H124" s="3"/>
      <c r="I124" s="2"/>
      <c r="J124" s="2" t="str">
        <f ca="1">IF(OR(F124="",E124="Approved"),"",MAX(0,TODAY()-F124))</f>
        <v/>
      </c>
      <c r="K124" s="2" t="str">
        <f ca="1">IF(E124="","",IF(E124="Approved","Done",IF(AND(F124&lt;&gt;"",F124&lt;TODAY()),"Overdue",IF(E124="Sent to client","Waiting on client","On track"))))</f>
        <v/>
      </c>
      <c r="L124" s="2"/>
    </row>
    <row r="125" spans="1:12">
      <c r="A125" s="2"/>
      <c r="B125" s="2"/>
      <c r="C125" s="2"/>
      <c r="D125" s="2"/>
      <c r="E125" s="2"/>
      <c r="F125" s="3"/>
      <c r="G125" s="3"/>
      <c r="H125" s="3"/>
      <c r="I125" s="2"/>
      <c r="J125" s="2" t="str">
        <f ca="1">IF(OR(F125="",E125="Approved"),"",MAX(0,TODAY()-F125))</f>
        <v/>
      </c>
      <c r="K125" s="2" t="str">
        <f ca="1">IF(E125="","",IF(E125="Approved","Done",IF(AND(F125&lt;&gt;"",F125&lt;TODAY()),"Overdue",IF(E125="Sent to client","Waiting on client","On track"))))</f>
        <v/>
      </c>
      <c r="L125" s="2"/>
    </row>
    <row r="126" spans="1:12">
      <c r="A126" s="2"/>
      <c r="B126" s="2"/>
      <c r="C126" s="2"/>
      <c r="D126" s="2"/>
      <c r="E126" s="2"/>
      <c r="F126" s="3"/>
      <c r="G126" s="3"/>
      <c r="H126" s="3"/>
      <c r="I126" s="2"/>
      <c r="J126" s="2" t="str">
        <f ca="1">IF(OR(F126="",E126="Approved"),"",MAX(0,TODAY()-F126))</f>
        <v/>
      </c>
      <c r="K126" s="2" t="str">
        <f ca="1">IF(E126="","",IF(E126="Approved","Done",IF(AND(F126&lt;&gt;"",F126&lt;TODAY()),"Overdue",IF(E126="Sent to client","Waiting on client","On track"))))</f>
        <v/>
      </c>
      <c r="L126" s="2"/>
    </row>
    <row r="127" spans="1:12">
      <c r="A127" s="2"/>
      <c r="B127" s="2"/>
      <c r="C127" s="2"/>
      <c r="D127" s="2"/>
      <c r="E127" s="2"/>
      <c r="F127" s="3"/>
      <c r="G127" s="3"/>
      <c r="H127" s="3"/>
      <c r="I127" s="2"/>
      <c r="J127" s="2" t="str">
        <f ca="1">IF(OR(F127="",E127="Approved"),"",MAX(0,TODAY()-F127))</f>
        <v/>
      </c>
      <c r="K127" s="2" t="str">
        <f ca="1">IF(E127="","",IF(E127="Approved","Done",IF(AND(F127&lt;&gt;"",F127&lt;TODAY()),"Overdue",IF(E127="Sent to client","Waiting on client","On track"))))</f>
        <v/>
      </c>
      <c r="L127" s="2"/>
    </row>
    <row r="128" spans="1:12">
      <c r="A128" s="2"/>
      <c r="B128" s="2"/>
      <c r="C128" s="2"/>
      <c r="D128" s="2"/>
      <c r="E128" s="2"/>
      <c r="F128" s="3"/>
      <c r="G128" s="3"/>
      <c r="H128" s="3"/>
      <c r="I128" s="2"/>
      <c r="J128" s="2" t="str">
        <f ca="1">IF(OR(F128="",E128="Approved"),"",MAX(0,TODAY()-F128))</f>
        <v/>
      </c>
      <c r="K128" s="2" t="str">
        <f ca="1">IF(E128="","",IF(E128="Approved","Done",IF(AND(F128&lt;&gt;"",F128&lt;TODAY()),"Overdue",IF(E128="Sent to client","Waiting on client","On track"))))</f>
        <v/>
      </c>
      <c r="L128" s="2"/>
    </row>
    <row r="129" spans="1:12">
      <c r="A129" s="2"/>
      <c r="B129" s="2"/>
      <c r="C129" s="2"/>
      <c r="D129" s="2"/>
      <c r="E129" s="2"/>
      <c r="F129" s="3"/>
      <c r="G129" s="3"/>
      <c r="H129" s="3"/>
      <c r="I129" s="2"/>
      <c r="J129" s="2" t="str">
        <f ca="1">IF(OR(F129="",E129="Approved"),"",MAX(0,TODAY()-F129))</f>
        <v/>
      </c>
      <c r="K129" s="2" t="str">
        <f ca="1">IF(E129="","",IF(E129="Approved","Done",IF(AND(F129&lt;&gt;"",F129&lt;TODAY()),"Overdue",IF(E129="Sent to client","Waiting on client","On track"))))</f>
        <v/>
      </c>
      <c r="L129" s="2"/>
    </row>
    <row r="130" spans="1:12">
      <c r="A130" s="2"/>
      <c r="B130" s="2"/>
      <c r="C130" s="2"/>
      <c r="D130" s="2"/>
      <c r="E130" s="2"/>
      <c r="F130" s="3"/>
      <c r="G130" s="3"/>
      <c r="H130" s="3"/>
      <c r="I130" s="2"/>
      <c r="J130" s="2" t="str">
        <f ca="1">IF(OR(F130="",E130="Approved"),"",MAX(0,TODAY()-F130))</f>
        <v/>
      </c>
      <c r="K130" s="2" t="str">
        <f ca="1">IF(E130="","",IF(E130="Approved","Done",IF(AND(F130&lt;&gt;"",F130&lt;TODAY()),"Overdue",IF(E130="Sent to client","Waiting on client","On track"))))</f>
        <v/>
      </c>
      <c r="L130" s="2"/>
    </row>
    <row r="131" spans="1:12">
      <c r="A131" s="2"/>
      <c r="B131" s="2"/>
      <c r="C131" s="2"/>
      <c r="D131" s="2"/>
      <c r="E131" s="2"/>
      <c r="F131" s="3"/>
      <c r="G131" s="3"/>
      <c r="H131" s="3"/>
      <c r="I131" s="2"/>
      <c r="J131" s="2" t="str">
        <f ca="1">IF(OR(F131="",E131="Approved"),"",MAX(0,TODAY()-F131))</f>
        <v/>
      </c>
      <c r="K131" s="2" t="str">
        <f ca="1">IF(E131="","",IF(E131="Approved","Done",IF(AND(F131&lt;&gt;"",F131&lt;TODAY()),"Overdue",IF(E131="Sent to client","Waiting on client","On track"))))</f>
        <v/>
      </c>
      <c r="L131" s="2"/>
    </row>
    <row r="132" spans="1:12">
      <c r="A132" s="2"/>
      <c r="B132" s="2"/>
      <c r="C132" s="2"/>
      <c r="D132" s="2"/>
      <c r="E132" s="2"/>
      <c r="F132" s="3"/>
      <c r="G132" s="3"/>
      <c r="H132" s="3"/>
      <c r="I132" s="2"/>
      <c r="J132" s="2" t="str">
        <f ca="1">IF(OR(F132="",E132="Approved"),"",MAX(0,TODAY()-F132))</f>
        <v/>
      </c>
      <c r="K132" s="2" t="str">
        <f ca="1">IF(E132="","",IF(E132="Approved","Done",IF(AND(F132&lt;&gt;"",F132&lt;TODAY()),"Overdue",IF(E132="Sent to client","Waiting on client","On track"))))</f>
        <v/>
      </c>
      <c r="L132" s="2"/>
    </row>
    <row r="133" spans="1:12">
      <c r="A133" s="2"/>
      <c r="B133" s="2"/>
      <c r="C133" s="2"/>
      <c r="D133" s="2"/>
      <c r="E133" s="2"/>
      <c r="F133" s="3"/>
      <c r="G133" s="3"/>
      <c r="H133" s="3"/>
      <c r="I133" s="2"/>
      <c r="J133" s="2" t="str">
        <f ca="1">IF(OR(F133="",E133="Approved"),"",MAX(0,TODAY()-F133))</f>
        <v/>
      </c>
      <c r="K133" s="2" t="str">
        <f ca="1">IF(E133="","",IF(E133="Approved","Done",IF(AND(F133&lt;&gt;"",F133&lt;TODAY()),"Overdue",IF(E133="Sent to client","Waiting on client","On track"))))</f>
        <v/>
      </c>
      <c r="L133" s="2"/>
    </row>
    <row r="134" spans="1:12">
      <c r="A134" s="2"/>
      <c r="B134" s="2"/>
      <c r="C134" s="2"/>
      <c r="D134" s="2"/>
      <c r="E134" s="2"/>
      <c r="F134" s="3"/>
      <c r="G134" s="3"/>
      <c r="H134" s="3"/>
      <c r="I134" s="2"/>
      <c r="J134" s="2" t="str">
        <f ca="1">IF(OR(F134="",E134="Approved"),"",MAX(0,TODAY()-F134))</f>
        <v/>
      </c>
      <c r="K134" s="2" t="str">
        <f ca="1">IF(E134="","",IF(E134="Approved","Done",IF(AND(F134&lt;&gt;"",F134&lt;TODAY()),"Overdue",IF(E134="Sent to client","Waiting on client","On track"))))</f>
        <v/>
      </c>
      <c r="L134" s="2"/>
    </row>
    <row r="135" spans="1:12">
      <c r="A135" s="2"/>
      <c r="B135" s="2"/>
      <c r="C135" s="2"/>
      <c r="D135" s="2"/>
      <c r="E135" s="2"/>
      <c r="F135" s="3"/>
      <c r="G135" s="3"/>
      <c r="H135" s="3"/>
      <c r="I135" s="2"/>
      <c r="J135" s="2" t="str">
        <f ca="1">IF(OR(F135="",E135="Approved"),"",MAX(0,TODAY()-F135))</f>
        <v/>
      </c>
      <c r="K135" s="2" t="str">
        <f ca="1">IF(E135="","",IF(E135="Approved","Done",IF(AND(F135&lt;&gt;"",F135&lt;TODAY()),"Overdue",IF(E135="Sent to client","Waiting on client","On track"))))</f>
        <v/>
      </c>
      <c r="L135" s="2"/>
    </row>
    <row r="136" spans="1:12">
      <c r="A136" s="2"/>
      <c r="B136" s="2"/>
      <c r="C136" s="2"/>
      <c r="D136" s="2"/>
      <c r="E136" s="2"/>
      <c r="F136" s="3"/>
      <c r="G136" s="3"/>
      <c r="H136" s="3"/>
      <c r="I136" s="2"/>
      <c r="J136" s="2" t="str">
        <f ca="1">IF(OR(F136="",E136="Approved"),"",MAX(0,TODAY()-F136))</f>
        <v/>
      </c>
      <c r="K136" s="2" t="str">
        <f ca="1">IF(E136="","",IF(E136="Approved","Done",IF(AND(F136&lt;&gt;"",F136&lt;TODAY()),"Overdue",IF(E136="Sent to client","Waiting on client","On track"))))</f>
        <v/>
      </c>
      <c r="L136" s="2"/>
    </row>
    <row r="137" spans="1:12">
      <c r="A137" s="2"/>
      <c r="B137" s="2"/>
      <c r="C137" s="2"/>
      <c r="D137" s="2"/>
      <c r="E137" s="2"/>
      <c r="F137" s="3"/>
      <c r="G137" s="3"/>
      <c r="H137" s="3"/>
      <c r="I137" s="2"/>
      <c r="J137" s="2" t="str">
        <f ca="1">IF(OR(F137="",E137="Approved"),"",MAX(0,TODAY()-F137))</f>
        <v/>
      </c>
      <c r="K137" s="2" t="str">
        <f ca="1">IF(E137="","",IF(E137="Approved","Done",IF(AND(F137&lt;&gt;"",F137&lt;TODAY()),"Overdue",IF(E137="Sent to client","Waiting on client","On track"))))</f>
        <v/>
      </c>
      <c r="L137" s="2"/>
    </row>
    <row r="138" spans="1:12">
      <c r="A138" s="2"/>
      <c r="B138" s="2"/>
      <c r="C138" s="2"/>
      <c r="D138" s="2"/>
      <c r="E138" s="2"/>
      <c r="F138" s="3"/>
      <c r="G138" s="3"/>
      <c r="H138" s="3"/>
      <c r="I138" s="2"/>
      <c r="J138" s="2" t="str">
        <f ca="1">IF(OR(F138="",E138="Approved"),"",MAX(0,TODAY()-F138))</f>
        <v/>
      </c>
      <c r="K138" s="2" t="str">
        <f ca="1">IF(E138="","",IF(E138="Approved","Done",IF(AND(F138&lt;&gt;"",F138&lt;TODAY()),"Overdue",IF(E138="Sent to client","Waiting on client","On track"))))</f>
        <v/>
      </c>
      <c r="L138" s="2"/>
    </row>
    <row r="139" spans="1:12">
      <c r="A139" s="2"/>
      <c r="B139" s="2"/>
      <c r="C139" s="2"/>
      <c r="D139" s="2"/>
      <c r="E139" s="2"/>
      <c r="F139" s="3"/>
      <c r="G139" s="3"/>
      <c r="H139" s="3"/>
      <c r="I139" s="2"/>
      <c r="J139" s="2" t="str">
        <f ca="1">IF(OR(F139="",E139="Approved"),"",MAX(0,TODAY()-F139))</f>
        <v/>
      </c>
      <c r="K139" s="2" t="str">
        <f ca="1">IF(E139="","",IF(E139="Approved","Done",IF(AND(F139&lt;&gt;"",F139&lt;TODAY()),"Overdue",IF(E139="Sent to client","Waiting on client","On track"))))</f>
        <v/>
      </c>
      <c r="L139" s="2"/>
    </row>
    <row r="140" spans="1:12">
      <c r="A140" s="2"/>
      <c r="B140" s="2"/>
      <c r="C140" s="2"/>
      <c r="D140" s="2"/>
      <c r="E140" s="2"/>
      <c r="F140" s="3"/>
      <c r="G140" s="3"/>
      <c r="H140" s="3"/>
      <c r="I140" s="2"/>
      <c r="J140" s="2" t="str">
        <f ca="1">IF(OR(F140="",E140="Approved"),"",MAX(0,TODAY()-F140))</f>
        <v/>
      </c>
      <c r="K140" s="2" t="str">
        <f ca="1">IF(E140="","",IF(E140="Approved","Done",IF(AND(F140&lt;&gt;"",F140&lt;TODAY()),"Overdue",IF(E140="Sent to client","Waiting on client","On track"))))</f>
        <v/>
      </c>
      <c r="L140" s="2"/>
    </row>
    <row r="141" spans="1:12">
      <c r="A141" s="2"/>
      <c r="B141" s="2"/>
      <c r="C141" s="2"/>
      <c r="D141" s="2"/>
      <c r="E141" s="2"/>
      <c r="F141" s="3"/>
      <c r="G141" s="3"/>
      <c r="H141" s="3"/>
      <c r="I141" s="2"/>
      <c r="J141" s="2" t="str">
        <f ca="1">IF(OR(F141="",E141="Approved"),"",MAX(0,TODAY()-F141))</f>
        <v/>
      </c>
      <c r="K141" s="2" t="str">
        <f ca="1">IF(E141="","",IF(E141="Approved","Done",IF(AND(F141&lt;&gt;"",F141&lt;TODAY()),"Overdue",IF(E141="Sent to client","Waiting on client","On track"))))</f>
        <v/>
      </c>
      <c r="L141" s="2"/>
    </row>
    <row r="142" spans="1:12">
      <c r="A142" s="2"/>
      <c r="B142" s="2"/>
      <c r="C142" s="2"/>
      <c r="D142" s="2"/>
      <c r="E142" s="2"/>
      <c r="F142" s="3"/>
      <c r="G142" s="3"/>
      <c r="H142" s="3"/>
      <c r="I142" s="2"/>
      <c r="J142" s="2" t="str">
        <f ca="1">IF(OR(F142="",E142="Approved"),"",MAX(0,TODAY()-F142))</f>
        <v/>
      </c>
      <c r="K142" s="2" t="str">
        <f ca="1">IF(E142="","",IF(E142="Approved","Done",IF(AND(F142&lt;&gt;"",F142&lt;TODAY()),"Overdue",IF(E142="Sent to client","Waiting on client","On track"))))</f>
        <v/>
      </c>
      <c r="L142" s="2"/>
    </row>
    <row r="143" spans="1:12">
      <c r="A143" s="2"/>
      <c r="B143" s="2"/>
      <c r="C143" s="2"/>
      <c r="D143" s="2"/>
      <c r="E143" s="2"/>
      <c r="F143" s="3"/>
      <c r="G143" s="3"/>
      <c r="H143" s="3"/>
      <c r="I143" s="2"/>
      <c r="J143" s="2" t="str">
        <f ca="1">IF(OR(F143="",E143="Approved"),"",MAX(0,TODAY()-F143))</f>
        <v/>
      </c>
      <c r="K143" s="2" t="str">
        <f ca="1">IF(E143="","",IF(E143="Approved","Done",IF(AND(F143&lt;&gt;"",F143&lt;TODAY()),"Overdue",IF(E143="Sent to client","Waiting on client","On track"))))</f>
        <v/>
      </c>
      <c r="L143" s="2"/>
    </row>
    <row r="144" spans="1:12">
      <c r="A144" s="2"/>
      <c r="B144" s="2"/>
      <c r="C144" s="2"/>
      <c r="D144" s="2"/>
      <c r="E144" s="2"/>
      <c r="F144" s="3"/>
      <c r="G144" s="3"/>
      <c r="H144" s="3"/>
      <c r="I144" s="2"/>
      <c r="J144" s="2" t="str">
        <f ca="1">IF(OR(F144="",E144="Approved"),"",MAX(0,TODAY()-F144))</f>
        <v/>
      </c>
      <c r="K144" s="2" t="str">
        <f ca="1">IF(E144="","",IF(E144="Approved","Done",IF(AND(F144&lt;&gt;"",F144&lt;TODAY()),"Overdue",IF(E144="Sent to client","Waiting on client","On track"))))</f>
        <v/>
      </c>
      <c r="L144" s="2"/>
    </row>
    <row r="145" spans="1:12">
      <c r="A145" s="2"/>
      <c r="B145" s="2"/>
      <c r="C145" s="2"/>
      <c r="D145" s="2"/>
      <c r="E145" s="2"/>
      <c r="F145" s="3"/>
      <c r="G145" s="3"/>
      <c r="H145" s="3"/>
      <c r="I145" s="2"/>
      <c r="J145" s="2" t="str">
        <f ca="1">IF(OR(F145="",E145="Approved"),"",MAX(0,TODAY()-F145))</f>
        <v/>
      </c>
      <c r="K145" s="2" t="str">
        <f ca="1">IF(E145="","",IF(E145="Approved","Done",IF(AND(F145&lt;&gt;"",F145&lt;TODAY()),"Overdue",IF(E145="Sent to client","Waiting on client","On track"))))</f>
        <v/>
      </c>
      <c r="L145" s="2"/>
    </row>
    <row r="146" spans="1:12">
      <c r="A146" s="2"/>
      <c r="B146" s="2"/>
      <c r="C146" s="2"/>
      <c r="D146" s="2"/>
      <c r="E146" s="2"/>
      <c r="F146" s="3"/>
      <c r="G146" s="3"/>
      <c r="H146" s="3"/>
      <c r="I146" s="2"/>
      <c r="J146" s="2" t="str">
        <f ca="1">IF(OR(F146="",E146="Approved"),"",MAX(0,TODAY()-F146))</f>
        <v/>
      </c>
      <c r="K146" s="2" t="str">
        <f ca="1">IF(E146="","",IF(E146="Approved","Done",IF(AND(F146&lt;&gt;"",F146&lt;TODAY()),"Overdue",IF(E146="Sent to client","Waiting on client","On track"))))</f>
        <v/>
      </c>
      <c r="L146" s="2"/>
    </row>
    <row r="147" spans="1:12">
      <c r="A147" s="2"/>
      <c r="B147" s="2"/>
      <c r="C147" s="2"/>
      <c r="D147" s="2"/>
      <c r="E147" s="2"/>
      <c r="F147" s="3"/>
      <c r="G147" s="3"/>
      <c r="H147" s="3"/>
      <c r="I147" s="2"/>
      <c r="J147" s="2" t="str">
        <f ca="1">IF(OR(F147="",E147="Approved"),"",MAX(0,TODAY()-F147))</f>
        <v/>
      </c>
      <c r="K147" s="2" t="str">
        <f ca="1">IF(E147="","",IF(E147="Approved","Done",IF(AND(F147&lt;&gt;"",F147&lt;TODAY()),"Overdue",IF(E147="Sent to client","Waiting on client","On track"))))</f>
        <v/>
      </c>
      <c r="L147" s="2"/>
    </row>
    <row r="148" spans="1:12">
      <c r="A148" s="2"/>
      <c r="B148" s="2"/>
      <c r="C148" s="2"/>
      <c r="D148" s="2"/>
      <c r="E148" s="2"/>
      <c r="F148" s="3"/>
      <c r="G148" s="3"/>
      <c r="H148" s="3"/>
      <c r="I148" s="2"/>
      <c r="J148" s="2" t="str">
        <f ca="1">IF(OR(F148="",E148="Approved"),"",MAX(0,TODAY()-F148))</f>
        <v/>
      </c>
      <c r="K148" s="2" t="str">
        <f ca="1">IF(E148="","",IF(E148="Approved","Done",IF(AND(F148&lt;&gt;"",F148&lt;TODAY()),"Overdue",IF(E148="Sent to client","Waiting on client","On track"))))</f>
        <v/>
      </c>
      <c r="L148" s="2"/>
    </row>
    <row r="149" spans="1:12">
      <c r="A149" s="2"/>
      <c r="B149" s="2"/>
      <c r="C149" s="2"/>
      <c r="D149" s="2"/>
      <c r="E149" s="2"/>
      <c r="F149" s="3"/>
      <c r="G149" s="3"/>
      <c r="H149" s="3"/>
      <c r="I149" s="2"/>
      <c r="J149" s="2" t="str">
        <f ca="1">IF(OR(F149="",E149="Approved"),"",MAX(0,TODAY()-F149))</f>
        <v/>
      </c>
      <c r="K149" s="2" t="str">
        <f ca="1">IF(E149="","",IF(E149="Approved","Done",IF(AND(F149&lt;&gt;"",F149&lt;TODAY()),"Overdue",IF(E149="Sent to client","Waiting on client","On track"))))</f>
        <v/>
      </c>
      <c r="L149" s="2"/>
    </row>
    <row r="150" spans="1:12">
      <c r="A150" s="2"/>
      <c r="B150" s="2"/>
      <c r="C150" s="2"/>
      <c r="D150" s="2"/>
      <c r="E150" s="2"/>
      <c r="F150" s="3"/>
      <c r="G150" s="3"/>
      <c r="H150" s="3"/>
      <c r="I150" s="2"/>
      <c r="J150" s="2" t="str">
        <f ca="1">IF(OR(F150="",E150="Approved"),"",MAX(0,TODAY()-F150))</f>
        <v/>
      </c>
      <c r="K150" s="2" t="str">
        <f ca="1">IF(E150="","",IF(E150="Approved","Done",IF(AND(F150&lt;&gt;"",F150&lt;TODAY()),"Overdue",IF(E150="Sent to client","Waiting on client","On track"))))</f>
        <v/>
      </c>
      <c r="L150" s="2"/>
    </row>
    <row r="151" spans="1:12">
      <c r="A151" s="2"/>
      <c r="B151" s="2"/>
      <c r="C151" s="2"/>
      <c r="D151" s="2"/>
      <c r="E151" s="2"/>
      <c r="F151" s="3"/>
      <c r="G151" s="3"/>
      <c r="H151" s="3"/>
      <c r="I151" s="2"/>
      <c r="J151" s="2" t="str">
        <f ca="1">IF(OR(F151="",E151="Approved"),"",MAX(0,TODAY()-F151))</f>
        <v/>
      </c>
      <c r="K151" s="2" t="str">
        <f ca="1">IF(E151="","",IF(E151="Approved","Done",IF(AND(F151&lt;&gt;"",F151&lt;TODAY()),"Overdue",IF(E151="Sent to client","Waiting on client","On track"))))</f>
        <v/>
      </c>
      <c r="L151" s="2"/>
    </row>
    <row r="152" spans="1:12">
      <c r="A152" s="2"/>
      <c r="B152" s="2"/>
      <c r="C152" s="2"/>
      <c r="D152" s="2"/>
      <c r="E152" s="2"/>
      <c r="F152" s="3"/>
      <c r="G152" s="3"/>
      <c r="H152" s="3"/>
      <c r="I152" s="2"/>
      <c r="J152" s="2" t="str">
        <f ca="1">IF(OR(F152="",E152="Approved"),"",MAX(0,TODAY()-F152))</f>
        <v/>
      </c>
      <c r="K152" s="2" t="str">
        <f ca="1">IF(E152="","",IF(E152="Approved","Done",IF(AND(F152&lt;&gt;"",F152&lt;TODAY()),"Overdue",IF(E152="Sent to client","Waiting on client","On track"))))</f>
        <v/>
      </c>
      <c r="L152" s="2"/>
    </row>
    <row r="153" spans="1:12">
      <c r="A153" s="2"/>
      <c r="B153" s="2"/>
      <c r="C153" s="2"/>
      <c r="D153" s="2"/>
      <c r="E153" s="2"/>
      <c r="F153" s="3"/>
      <c r="G153" s="3"/>
      <c r="H153" s="3"/>
      <c r="I153" s="2"/>
      <c r="J153" s="2" t="str">
        <f ca="1">IF(OR(F153="",E153="Approved"),"",MAX(0,TODAY()-F153))</f>
        <v/>
      </c>
      <c r="K153" s="2" t="str">
        <f ca="1">IF(E153="","",IF(E153="Approved","Done",IF(AND(F153&lt;&gt;"",F153&lt;TODAY()),"Overdue",IF(E153="Sent to client","Waiting on client","On track"))))</f>
        <v/>
      </c>
      <c r="L153" s="2"/>
    </row>
    <row r="154" spans="1:12">
      <c r="A154" s="2"/>
      <c r="B154" s="2"/>
      <c r="C154" s="2"/>
      <c r="D154" s="2"/>
      <c r="E154" s="2"/>
      <c r="F154" s="3"/>
      <c r="G154" s="3"/>
      <c r="H154" s="3"/>
      <c r="I154" s="2"/>
      <c r="J154" s="2" t="str">
        <f ca="1">IF(OR(F154="",E154="Approved"),"",MAX(0,TODAY()-F154))</f>
        <v/>
      </c>
      <c r="K154" s="2" t="str">
        <f ca="1">IF(E154="","",IF(E154="Approved","Done",IF(AND(F154&lt;&gt;"",F154&lt;TODAY()),"Overdue",IF(E154="Sent to client","Waiting on client","On track"))))</f>
        <v/>
      </c>
      <c r="L154" s="2"/>
    </row>
    <row r="155" spans="1:12">
      <c r="A155" s="2"/>
      <c r="B155" s="2"/>
      <c r="C155" s="2"/>
      <c r="D155" s="2"/>
      <c r="E155" s="2"/>
      <c r="F155" s="3"/>
      <c r="G155" s="3"/>
      <c r="H155" s="3"/>
      <c r="I155" s="2"/>
      <c r="J155" s="2" t="str">
        <f ca="1">IF(OR(F155="",E155="Approved"),"",MAX(0,TODAY()-F155))</f>
        <v/>
      </c>
      <c r="K155" s="2" t="str">
        <f ca="1">IF(E155="","",IF(E155="Approved","Done",IF(AND(F155&lt;&gt;"",F155&lt;TODAY()),"Overdue",IF(E155="Sent to client","Waiting on client","On track"))))</f>
        <v/>
      </c>
      <c r="L155" s="2"/>
    </row>
    <row r="156" spans="1:12">
      <c r="A156" s="2"/>
      <c r="B156" s="2"/>
      <c r="C156" s="2"/>
      <c r="D156" s="2"/>
      <c r="E156" s="2"/>
      <c r="F156" s="3"/>
      <c r="G156" s="3"/>
      <c r="H156" s="3"/>
      <c r="I156" s="2"/>
      <c r="J156" s="2" t="str">
        <f ca="1">IF(OR(F156="",E156="Approved"),"",MAX(0,TODAY()-F156))</f>
        <v/>
      </c>
      <c r="K156" s="2" t="str">
        <f ca="1">IF(E156="","",IF(E156="Approved","Done",IF(AND(F156&lt;&gt;"",F156&lt;TODAY()),"Overdue",IF(E156="Sent to client","Waiting on client","On track"))))</f>
        <v/>
      </c>
      <c r="L156" s="2"/>
    </row>
    <row r="157" spans="1:12">
      <c r="A157" s="2"/>
      <c r="B157" s="2"/>
      <c r="C157" s="2"/>
      <c r="D157" s="2"/>
      <c r="E157" s="2"/>
      <c r="F157" s="3"/>
      <c r="G157" s="3"/>
      <c r="H157" s="3"/>
      <c r="I157" s="2"/>
      <c r="J157" s="2" t="str">
        <f ca="1">IF(OR(F157="",E157="Approved"),"",MAX(0,TODAY()-F157))</f>
        <v/>
      </c>
      <c r="K157" s="2" t="str">
        <f ca="1">IF(E157="","",IF(E157="Approved","Done",IF(AND(F157&lt;&gt;"",F157&lt;TODAY()),"Overdue",IF(E157="Sent to client","Waiting on client","On track"))))</f>
        <v/>
      </c>
      <c r="L157" s="2"/>
    </row>
    <row r="158" spans="1:12">
      <c r="A158" s="2"/>
      <c r="B158" s="2"/>
      <c r="C158" s="2"/>
      <c r="D158" s="2"/>
      <c r="E158" s="2"/>
      <c r="F158" s="3"/>
      <c r="G158" s="3"/>
      <c r="H158" s="3"/>
      <c r="I158" s="2"/>
      <c r="J158" s="2" t="str">
        <f ca="1">IF(OR(F158="",E158="Approved"),"",MAX(0,TODAY()-F158))</f>
        <v/>
      </c>
      <c r="K158" s="2" t="str">
        <f ca="1">IF(E158="","",IF(E158="Approved","Done",IF(AND(F158&lt;&gt;"",F158&lt;TODAY()),"Overdue",IF(E158="Sent to client","Waiting on client","On track"))))</f>
        <v/>
      </c>
      <c r="L158" s="2"/>
    </row>
    <row r="159" spans="1:12">
      <c r="A159" s="2"/>
      <c r="B159" s="2"/>
      <c r="C159" s="2"/>
      <c r="D159" s="2"/>
      <c r="E159" s="2"/>
      <c r="F159" s="3"/>
      <c r="G159" s="3"/>
      <c r="H159" s="3"/>
      <c r="I159" s="2"/>
      <c r="J159" s="2" t="str">
        <f ca="1">IF(OR(F159="",E159="Approved"),"",MAX(0,TODAY()-F159))</f>
        <v/>
      </c>
      <c r="K159" s="2" t="str">
        <f ca="1">IF(E159="","",IF(E159="Approved","Done",IF(AND(F159&lt;&gt;"",F159&lt;TODAY()),"Overdue",IF(E159="Sent to client","Waiting on client","On track"))))</f>
        <v/>
      </c>
      <c r="L159" s="2"/>
    </row>
    <row r="160" spans="1:12">
      <c r="A160" s="2"/>
      <c r="B160" s="2"/>
      <c r="C160" s="2"/>
      <c r="D160" s="2"/>
      <c r="E160" s="2"/>
      <c r="F160" s="3"/>
      <c r="G160" s="3"/>
      <c r="H160" s="3"/>
      <c r="I160" s="2"/>
      <c r="J160" s="2" t="str">
        <f ca="1">IF(OR(F160="",E160="Approved"),"",MAX(0,TODAY()-F160))</f>
        <v/>
      </c>
      <c r="K160" s="2" t="str">
        <f ca="1">IF(E160="","",IF(E160="Approved","Done",IF(AND(F160&lt;&gt;"",F160&lt;TODAY()),"Overdue",IF(E160="Sent to client","Waiting on client","On track"))))</f>
        <v/>
      </c>
      <c r="L160" s="2"/>
    </row>
    <row r="161" spans="1:12">
      <c r="A161" s="2"/>
      <c r="B161" s="2"/>
      <c r="C161" s="2"/>
      <c r="D161" s="2"/>
      <c r="E161" s="2"/>
      <c r="F161" s="3"/>
      <c r="G161" s="3"/>
      <c r="H161" s="3"/>
      <c r="I161" s="2"/>
      <c r="J161" s="2" t="str">
        <f ca="1">IF(OR(F161="",E161="Approved"),"",MAX(0,TODAY()-F161))</f>
        <v/>
      </c>
      <c r="K161" s="2" t="str">
        <f ca="1">IF(E161="","",IF(E161="Approved","Done",IF(AND(F161&lt;&gt;"",F161&lt;TODAY()),"Overdue",IF(E161="Sent to client","Waiting on client","On track"))))</f>
        <v/>
      </c>
      <c r="L161" s="2"/>
    </row>
    <row r="162" spans="1:12">
      <c r="A162" s="2"/>
      <c r="B162" s="2"/>
      <c r="C162" s="2"/>
      <c r="D162" s="2"/>
      <c r="E162" s="2"/>
      <c r="F162" s="3"/>
      <c r="G162" s="3"/>
      <c r="H162" s="3"/>
      <c r="I162" s="2"/>
      <c r="J162" s="2" t="str">
        <f ca="1">IF(OR(F162="",E162="Approved"),"",MAX(0,TODAY()-F162))</f>
        <v/>
      </c>
      <c r="K162" s="2" t="str">
        <f ca="1">IF(E162="","",IF(E162="Approved","Done",IF(AND(F162&lt;&gt;"",F162&lt;TODAY()),"Overdue",IF(E162="Sent to client","Waiting on client","On track"))))</f>
        <v/>
      </c>
      <c r="L162" s="2"/>
    </row>
    <row r="163" spans="1:12">
      <c r="A163" s="2"/>
      <c r="B163" s="2"/>
      <c r="C163" s="2"/>
      <c r="D163" s="2"/>
      <c r="E163" s="2"/>
      <c r="F163" s="3"/>
      <c r="G163" s="3"/>
      <c r="H163" s="3"/>
      <c r="I163" s="2"/>
      <c r="J163" s="2" t="str">
        <f ca="1">IF(OR(F163="",E163="Approved"),"",MAX(0,TODAY()-F163))</f>
        <v/>
      </c>
      <c r="K163" s="2" t="str">
        <f ca="1">IF(E163="","",IF(E163="Approved","Done",IF(AND(F163&lt;&gt;"",F163&lt;TODAY()),"Overdue",IF(E163="Sent to client","Waiting on client","On track"))))</f>
        <v/>
      </c>
      <c r="L163" s="2"/>
    </row>
    <row r="164" spans="1:12">
      <c r="A164" s="2"/>
      <c r="B164" s="2"/>
      <c r="C164" s="2"/>
      <c r="D164" s="2"/>
      <c r="E164" s="2"/>
      <c r="F164" s="3"/>
      <c r="G164" s="3"/>
      <c r="H164" s="3"/>
      <c r="I164" s="2"/>
      <c r="J164" s="2" t="str">
        <f ca="1">IF(OR(F164="",E164="Approved"),"",MAX(0,TODAY()-F164))</f>
        <v/>
      </c>
      <c r="K164" s="2" t="str">
        <f ca="1">IF(E164="","",IF(E164="Approved","Done",IF(AND(F164&lt;&gt;"",F164&lt;TODAY()),"Overdue",IF(E164="Sent to client","Waiting on client","On track"))))</f>
        <v/>
      </c>
      <c r="L164" s="2"/>
    </row>
    <row r="165" spans="1:12">
      <c r="A165" s="2"/>
      <c r="B165" s="2"/>
      <c r="C165" s="2"/>
      <c r="D165" s="2"/>
      <c r="E165" s="2"/>
      <c r="F165" s="3"/>
      <c r="G165" s="3"/>
      <c r="H165" s="3"/>
      <c r="I165" s="2"/>
      <c r="J165" s="2" t="str">
        <f ca="1">IF(OR(F165="",E165="Approved"),"",MAX(0,TODAY()-F165))</f>
        <v/>
      </c>
      <c r="K165" s="2" t="str">
        <f ca="1">IF(E165="","",IF(E165="Approved","Done",IF(AND(F165&lt;&gt;"",F165&lt;TODAY()),"Overdue",IF(E165="Sent to client","Waiting on client","On track"))))</f>
        <v/>
      </c>
      <c r="L165" s="2"/>
    </row>
    <row r="166" spans="1:12">
      <c r="A166" s="2"/>
      <c r="B166" s="2"/>
      <c r="C166" s="2"/>
      <c r="D166" s="2"/>
      <c r="E166" s="2"/>
      <c r="F166" s="3"/>
      <c r="G166" s="3"/>
      <c r="H166" s="3"/>
      <c r="I166" s="2"/>
      <c r="J166" s="2" t="str">
        <f ca="1">IF(OR(F166="",E166="Approved"),"",MAX(0,TODAY()-F166))</f>
        <v/>
      </c>
      <c r="K166" s="2" t="str">
        <f ca="1">IF(E166="","",IF(E166="Approved","Done",IF(AND(F166&lt;&gt;"",F166&lt;TODAY()),"Overdue",IF(E166="Sent to client","Waiting on client","On track"))))</f>
        <v/>
      </c>
      <c r="L166" s="2"/>
    </row>
    <row r="167" spans="1:12">
      <c r="A167" s="2"/>
      <c r="B167" s="2"/>
      <c r="C167" s="2"/>
      <c r="D167" s="2"/>
      <c r="E167" s="2"/>
      <c r="F167" s="3"/>
      <c r="G167" s="3"/>
      <c r="H167" s="3"/>
      <c r="I167" s="2"/>
      <c r="J167" s="2" t="str">
        <f ca="1">IF(OR(F167="",E167="Approved"),"",MAX(0,TODAY()-F167))</f>
        <v/>
      </c>
      <c r="K167" s="2" t="str">
        <f ca="1">IF(E167="","",IF(E167="Approved","Done",IF(AND(F167&lt;&gt;"",F167&lt;TODAY()),"Overdue",IF(E167="Sent to client","Waiting on client","On track"))))</f>
        <v/>
      </c>
      <c r="L167" s="2"/>
    </row>
    <row r="168" spans="1:12">
      <c r="A168" s="2"/>
      <c r="B168" s="2"/>
      <c r="C168" s="2"/>
      <c r="D168" s="2"/>
      <c r="E168" s="2"/>
      <c r="F168" s="3"/>
      <c r="G168" s="3"/>
      <c r="H168" s="3"/>
      <c r="I168" s="2"/>
      <c r="J168" s="2" t="str">
        <f ca="1">IF(OR(F168="",E168="Approved"),"",MAX(0,TODAY()-F168))</f>
        <v/>
      </c>
      <c r="K168" s="2" t="str">
        <f ca="1">IF(E168="","",IF(E168="Approved","Done",IF(AND(F168&lt;&gt;"",F168&lt;TODAY()),"Overdue",IF(E168="Sent to client","Waiting on client","On track"))))</f>
        <v/>
      </c>
      <c r="L168" s="2"/>
    </row>
    <row r="169" spans="1:12">
      <c r="A169" s="2"/>
      <c r="B169" s="2"/>
      <c r="C169" s="2"/>
      <c r="D169" s="2"/>
      <c r="E169" s="2"/>
      <c r="F169" s="3"/>
      <c r="G169" s="3"/>
      <c r="H169" s="3"/>
      <c r="I169" s="2"/>
      <c r="J169" s="2" t="str">
        <f ca="1">IF(OR(F169="",E169="Approved"),"",MAX(0,TODAY()-F169))</f>
        <v/>
      </c>
      <c r="K169" s="2" t="str">
        <f ca="1">IF(E169="","",IF(E169="Approved","Done",IF(AND(F169&lt;&gt;"",F169&lt;TODAY()),"Overdue",IF(E169="Sent to client","Waiting on client","On track"))))</f>
        <v/>
      </c>
      <c r="L169" s="2"/>
    </row>
    <row r="170" spans="1:12">
      <c r="A170" s="2"/>
      <c r="B170" s="2"/>
      <c r="C170" s="2"/>
      <c r="D170" s="2"/>
      <c r="E170" s="2"/>
      <c r="F170" s="3"/>
      <c r="G170" s="3"/>
      <c r="H170" s="3"/>
      <c r="I170" s="2"/>
      <c r="J170" s="2" t="str">
        <f ca="1">IF(OR(F170="",E170="Approved"),"",MAX(0,TODAY()-F170))</f>
        <v/>
      </c>
      <c r="K170" s="2" t="str">
        <f ca="1">IF(E170="","",IF(E170="Approved","Done",IF(AND(F170&lt;&gt;"",F170&lt;TODAY()),"Overdue",IF(E170="Sent to client","Waiting on client","On track"))))</f>
        <v/>
      </c>
      <c r="L170" s="2"/>
    </row>
    <row r="171" spans="1:12">
      <c r="A171" s="2"/>
      <c r="B171" s="2"/>
      <c r="C171" s="2"/>
      <c r="D171" s="2"/>
      <c r="E171" s="2"/>
      <c r="F171" s="3"/>
      <c r="G171" s="3"/>
      <c r="H171" s="3"/>
      <c r="I171" s="2"/>
      <c r="J171" s="2" t="str">
        <f ca="1">IF(OR(F171="",E171="Approved"),"",MAX(0,TODAY()-F171))</f>
        <v/>
      </c>
      <c r="K171" s="2" t="str">
        <f ca="1">IF(E171="","",IF(E171="Approved","Done",IF(AND(F171&lt;&gt;"",F171&lt;TODAY()),"Overdue",IF(E171="Sent to client","Waiting on client","On track"))))</f>
        <v/>
      </c>
      <c r="L171" s="2"/>
    </row>
    <row r="172" spans="1:12">
      <c r="A172" s="2"/>
      <c r="B172" s="2"/>
      <c r="C172" s="2"/>
      <c r="D172" s="2"/>
      <c r="E172" s="2"/>
      <c r="F172" s="3"/>
      <c r="G172" s="3"/>
      <c r="H172" s="3"/>
      <c r="I172" s="2"/>
      <c r="J172" s="2" t="str">
        <f ca="1">IF(OR(F172="",E172="Approved"),"",MAX(0,TODAY()-F172))</f>
        <v/>
      </c>
      <c r="K172" s="2" t="str">
        <f ca="1">IF(E172="","",IF(E172="Approved","Done",IF(AND(F172&lt;&gt;"",F172&lt;TODAY()),"Overdue",IF(E172="Sent to client","Waiting on client","On track"))))</f>
        <v/>
      </c>
      <c r="L172" s="2"/>
    </row>
    <row r="173" spans="1:12">
      <c r="A173" s="2"/>
      <c r="B173" s="2"/>
      <c r="C173" s="2"/>
      <c r="D173" s="2"/>
      <c r="E173" s="2"/>
      <c r="F173" s="3"/>
      <c r="G173" s="3"/>
      <c r="H173" s="3"/>
      <c r="I173" s="2"/>
      <c r="J173" s="2" t="str">
        <f ca="1">IF(OR(F173="",E173="Approved"),"",MAX(0,TODAY()-F173))</f>
        <v/>
      </c>
      <c r="K173" s="2" t="str">
        <f ca="1">IF(E173="","",IF(E173="Approved","Done",IF(AND(F173&lt;&gt;"",F173&lt;TODAY()),"Overdue",IF(E173="Sent to client","Waiting on client","On track"))))</f>
        <v/>
      </c>
      <c r="L173" s="2"/>
    </row>
    <row r="174" spans="1:12">
      <c r="A174" s="2"/>
      <c r="B174" s="2"/>
      <c r="C174" s="2"/>
      <c r="D174" s="2"/>
      <c r="E174" s="2"/>
      <c r="F174" s="3"/>
      <c r="G174" s="3"/>
      <c r="H174" s="3"/>
      <c r="I174" s="2"/>
      <c r="J174" s="2" t="str">
        <f ca="1">IF(OR(F174="",E174="Approved"),"",MAX(0,TODAY()-F174))</f>
        <v/>
      </c>
      <c r="K174" s="2" t="str">
        <f ca="1">IF(E174="","",IF(E174="Approved","Done",IF(AND(F174&lt;&gt;"",F174&lt;TODAY()),"Overdue",IF(E174="Sent to client","Waiting on client","On track"))))</f>
        <v/>
      </c>
      <c r="L174" s="2"/>
    </row>
    <row r="175" spans="1:12">
      <c r="A175" s="2"/>
      <c r="B175" s="2"/>
      <c r="C175" s="2"/>
      <c r="D175" s="2"/>
      <c r="E175" s="2"/>
      <c r="F175" s="3"/>
      <c r="G175" s="3"/>
      <c r="H175" s="3"/>
      <c r="I175" s="2"/>
      <c r="J175" s="2" t="str">
        <f ca="1">IF(OR(F175="",E175="Approved"),"",MAX(0,TODAY()-F175))</f>
        <v/>
      </c>
      <c r="K175" s="2" t="str">
        <f ca="1">IF(E175="","",IF(E175="Approved","Done",IF(AND(F175&lt;&gt;"",F175&lt;TODAY()),"Overdue",IF(E175="Sent to client","Waiting on client","On track"))))</f>
        <v/>
      </c>
      <c r="L175" s="2"/>
    </row>
    <row r="176" spans="1:12">
      <c r="A176" s="2"/>
      <c r="B176" s="2"/>
      <c r="C176" s="2"/>
      <c r="D176" s="2"/>
      <c r="E176" s="2"/>
      <c r="F176" s="3"/>
      <c r="G176" s="3"/>
      <c r="H176" s="3"/>
      <c r="I176" s="2"/>
      <c r="J176" s="2" t="str">
        <f ca="1">IF(OR(F176="",E176="Approved"),"",MAX(0,TODAY()-F176))</f>
        <v/>
      </c>
      <c r="K176" s="2" t="str">
        <f ca="1">IF(E176="","",IF(E176="Approved","Done",IF(AND(F176&lt;&gt;"",F176&lt;TODAY()),"Overdue",IF(E176="Sent to client","Waiting on client","On track"))))</f>
        <v/>
      </c>
      <c r="L176" s="2"/>
    </row>
    <row r="177" spans="1:12">
      <c r="A177" s="2"/>
      <c r="B177" s="2"/>
      <c r="C177" s="2"/>
      <c r="D177" s="2"/>
      <c r="E177" s="2"/>
      <c r="F177" s="3"/>
      <c r="G177" s="3"/>
      <c r="H177" s="3"/>
      <c r="I177" s="2"/>
      <c r="J177" s="2" t="str">
        <f ca="1">IF(OR(F177="",E177="Approved"),"",MAX(0,TODAY()-F177))</f>
        <v/>
      </c>
      <c r="K177" s="2" t="str">
        <f ca="1">IF(E177="","",IF(E177="Approved","Done",IF(AND(F177&lt;&gt;"",F177&lt;TODAY()),"Overdue",IF(E177="Sent to client","Waiting on client","On track"))))</f>
        <v/>
      </c>
      <c r="L177" s="2"/>
    </row>
    <row r="178" spans="1:12">
      <c r="A178" s="2"/>
      <c r="B178" s="2"/>
      <c r="C178" s="2"/>
      <c r="D178" s="2"/>
      <c r="E178" s="2"/>
      <c r="F178" s="3"/>
      <c r="G178" s="3"/>
      <c r="H178" s="3"/>
      <c r="I178" s="2"/>
      <c r="J178" s="2" t="str">
        <f ca="1">IF(OR(F178="",E178="Approved"),"",MAX(0,TODAY()-F178))</f>
        <v/>
      </c>
      <c r="K178" s="2" t="str">
        <f ca="1">IF(E178="","",IF(E178="Approved","Done",IF(AND(F178&lt;&gt;"",F178&lt;TODAY()),"Overdue",IF(E178="Sent to client","Waiting on client","On track"))))</f>
        <v/>
      </c>
      <c r="L178" s="2"/>
    </row>
    <row r="179" spans="1:12">
      <c r="A179" s="2"/>
      <c r="B179" s="2"/>
      <c r="C179" s="2"/>
      <c r="D179" s="2"/>
      <c r="E179" s="2"/>
      <c r="F179" s="3"/>
      <c r="G179" s="3"/>
      <c r="H179" s="3"/>
      <c r="I179" s="2"/>
      <c r="J179" s="2" t="str">
        <f ca="1">IF(OR(F179="",E179="Approved"),"",MAX(0,TODAY()-F179))</f>
        <v/>
      </c>
      <c r="K179" s="2" t="str">
        <f ca="1">IF(E179="","",IF(E179="Approved","Done",IF(AND(F179&lt;&gt;"",F179&lt;TODAY()),"Overdue",IF(E179="Sent to client","Waiting on client","On track"))))</f>
        <v/>
      </c>
      <c r="L179" s="2"/>
    </row>
    <row r="180" spans="1:12">
      <c r="A180" s="2"/>
      <c r="B180" s="2"/>
      <c r="C180" s="2"/>
      <c r="D180" s="2"/>
      <c r="E180" s="2"/>
      <c r="F180" s="3"/>
      <c r="G180" s="3"/>
      <c r="H180" s="3"/>
      <c r="I180" s="2"/>
      <c r="J180" s="2" t="str">
        <f ca="1">IF(OR(F180="",E180="Approved"),"",MAX(0,TODAY()-F180))</f>
        <v/>
      </c>
      <c r="K180" s="2" t="str">
        <f ca="1">IF(E180="","",IF(E180="Approved","Done",IF(AND(F180&lt;&gt;"",F180&lt;TODAY()),"Overdue",IF(E180="Sent to client","Waiting on client","On track"))))</f>
        <v/>
      </c>
      <c r="L180" s="2"/>
    </row>
    <row r="181" spans="1:12">
      <c r="A181" s="2"/>
      <c r="B181" s="2"/>
      <c r="C181" s="2"/>
      <c r="D181" s="2"/>
      <c r="E181" s="2"/>
      <c r="F181" s="3"/>
      <c r="G181" s="3"/>
      <c r="H181" s="3"/>
      <c r="I181" s="2"/>
      <c r="J181" s="2" t="str">
        <f ca="1">IF(OR(F181="",E181="Approved"),"",MAX(0,TODAY()-F181))</f>
        <v/>
      </c>
      <c r="K181" s="2" t="str">
        <f ca="1">IF(E181="","",IF(E181="Approved","Done",IF(AND(F181&lt;&gt;"",F181&lt;TODAY()),"Overdue",IF(E181="Sent to client","Waiting on client","On track"))))</f>
        <v/>
      </c>
      <c r="L181" s="2"/>
    </row>
    <row r="182" spans="1:12">
      <c r="A182" s="2"/>
      <c r="B182" s="2"/>
      <c r="C182" s="2"/>
      <c r="D182" s="2"/>
      <c r="E182" s="2"/>
      <c r="F182" s="3"/>
      <c r="G182" s="3"/>
      <c r="H182" s="3"/>
      <c r="I182" s="2"/>
      <c r="J182" s="2" t="str">
        <f ca="1">IF(OR(F182="",E182="Approved"),"",MAX(0,TODAY()-F182))</f>
        <v/>
      </c>
      <c r="K182" s="2" t="str">
        <f ca="1">IF(E182="","",IF(E182="Approved","Done",IF(AND(F182&lt;&gt;"",F182&lt;TODAY()),"Overdue",IF(E182="Sent to client","Waiting on client","On track"))))</f>
        <v/>
      </c>
      <c r="L182" s="2"/>
    </row>
    <row r="183" spans="1:12">
      <c r="A183" s="2"/>
      <c r="B183" s="2"/>
      <c r="C183" s="2"/>
      <c r="D183" s="2"/>
      <c r="E183" s="2"/>
      <c r="F183" s="3"/>
      <c r="G183" s="3"/>
      <c r="H183" s="3"/>
      <c r="I183" s="2"/>
      <c r="J183" s="2" t="str">
        <f ca="1">IF(OR(F183="",E183="Approved"),"",MAX(0,TODAY()-F183))</f>
        <v/>
      </c>
      <c r="K183" s="2" t="str">
        <f ca="1">IF(E183="","",IF(E183="Approved","Done",IF(AND(F183&lt;&gt;"",F183&lt;TODAY()),"Overdue",IF(E183="Sent to client","Waiting on client","On track"))))</f>
        <v/>
      </c>
      <c r="L183" s="2"/>
    </row>
    <row r="184" spans="1:12">
      <c r="A184" s="2"/>
      <c r="B184" s="2"/>
      <c r="C184" s="2"/>
      <c r="D184" s="2"/>
      <c r="E184" s="2"/>
      <c r="F184" s="3"/>
      <c r="G184" s="3"/>
      <c r="H184" s="3"/>
      <c r="I184" s="2"/>
      <c r="J184" s="2" t="str">
        <f ca="1">IF(OR(F184="",E184="Approved"),"",MAX(0,TODAY()-F184))</f>
        <v/>
      </c>
      <c r="K184" s="2" t="str">
        <f ca="1">IF(E184="","",IF(E184="Approved","Done",IF(AND(F184&lt;&gt;"",F184&lt;TODAY()),"Overdue",IF(E184="Sent to client","Waiting on client","On track"))))</f>
        <v/>
      </c>
      <c r="L184" s="2"/>
    </row>
    <row r="185" spans="1:12">
      <c r="A185" s="2"/>
      <c r="B185" s="2"/>
      <c r="C185" s="2"/>
      <c r="D185" s="2"/>
      <c r="E185" s="2"/>
      <c r="F185" s="3"/>
      <c r="G185" s="3"/>
      <c r="H185" s="3"/>
      <c r="I185" s="2"/>
      <c r="J185" s="2" t="str">
        <f ca="1">IF(OR(F185="",E185="Approved"),"",MAX(0,TODAY()-F185))</f>
        <v/>
      </c>
      <c r="K185" s="2" t="str">
        <f ca="1">IF(E185="","",IF(E185="Approved","Done",IF(AND(F185&lt;&gt;"",F185&lt;TODAY()),"Overdue",IF(E185="Sent to client","Waiting on client","On track"))))</f>
        <v/>
      </c>
      <c r="L185" s="2"/>
    </row>
    <row r="186" spans="1:12">
      <c r="A186" s="2"/>
      <c r="B186" s="2"/>
      <c r="C186" s="2"/>
      <c r="D186" s="2"/>
      <c r="E186" s="2"/>
      <c r="F186" s="3"/>
      <c r="G186" s="3"/>
      <c r="H186" s="3"/>
      <c r="I186" s="2"/>
      <c r="J186" s="2" t="str">
        <f ca="1">IF(OR(F186="",E186="Approved"),"",MAX(0,TODAY()-F186))</f>
        <v/>
      </c>
      <c r="K186" s="2" t="str">
        <f ca="1">IF(E186="","",IF(E186="Approved","Done",IF(AND(F186&lt;&gt;"",F186&lt;TODAY()),"Overdue",IF(E186="Sent to client","Waiting on client","On track"))))</f>
        <v/>
      </c>
      <c r="L186" s="2"/>
    </row>
    <row r="187" spans="1:12">
      <c r="A187" s="2"/>
      <c r="B187" s="2"/>
      <c r="C187" s="2"/>
      <c r="D187" s="2"/>
      <c r="E187" s="2"/>
      <c r="F187" s="3"/>
      <c r="G187" s="3"/>
      <c r="H187" s="3"/>
      <c r="I187" s="2"/>
      <c r="J187" s="2" t="str">
        <f ca="1">IF(OR(F187="",E187="Approved"),"",MAX(0,TODAY()-F187))</f>
        <v/>
      </c>
      <c r="K187" s="2" t="str">
        <f ca="1">IF(E187="","",IF(E187="Approved","Done",IF(AND(F187&lt;&gt;"",F187&lt;TODAY()),"Overdue",IF(E187="Sent to client","Waiting on client","On track"))))</f>
        <v/>
      </c>
      <c r="L187" s="2"/>
    </row>
    <row r="188" spans="1:12">
      <c r="A188" s="2"/>
      <c r="B188" s="2"/>
      <c r="C188" s="2"/>
      <c r="D188" s="2"/>
      <c r="E188" s="2"/>
      <c r="F188" s="3"/>
      <c r="G188" s="3"/>
      <c r="H188" s="3"/>
      <c r="I188" s="2"/>
      <c r="J188" s="2" t="str">
        <f ca="1">IF(OR(F188="",E188="Approved"),"",MAX(0,TODAY()-F188))</f>
        <v/>
      </c>
      <c r="K188" s="2" t="str">
        <f ca="1">IF(E188="","",IF(E188="Approved","Done",IF(AND(F188&lt;&gt;"",F188&lt;TODAY()),"Overdue",IF(E188="Sent to client","Waiting on client","On track"))))</f>
        <v/>
      </c>
      <c r="L188" s="2"/>
    </row>
    <row r="189" spans="1:12">
      <c r="A189" s="2"/>
      <c r="B189" s="2"/>
      <c r="C189" s="2"/>
      <c r="D189" s="2"/>
      <c r="E189" s="2"/>
      <c r="F189" s="3"/>
      <c r="G189" s="3"/>
      <c r="H189" s="3"/>
      <c r="I189" s="2"/>
      <c r="J189" s="2" t="str">
        <f ca="1">IF(OR(F189="",E189="Approved"),"",MAX(0,TODAY()-F189))</f>
        <v/>
      </c>
      <c r="K189" s="2" t="str">
        <f ca="1">IF(E189="","",IF(E189="Approved","Done",IF(AND(F189&lt;&gt;"",F189&lt;TODAY()),"Overdue",IF(E189="Sent to client","Waiting on client","On track"))))</f>
        <v/>
      </c>
      <c r="L189" s="2"/>
    </row>
    <row r="190" spans="1:12">
      <c r="A190" s="2"/>
      <c r="B190" s="2"/>
      <c r="C190" s="2"/>
      <c r="D190" s="2"/>
      <c r="E190" s="2"/>
      <c r="F190" s="3"/>
      <c r="G190" s="3"/>
      <c r="H190" s="3"/>
      <c r="I190" s="2"/>
      <c r="J190" s="2" t="str">
        <f ca="1">IF(OR(F190="",E190="Approved"),"",MAX(0,TODAY()-F190))</f>
        <v/>
      </c>
      <c r="K190" s="2" t="str">
        <f ca="1">IF(E190="","",IF(E190="Approved","Done",IF(AND(F190&lt;&gt;"",F190&lt;TODAY()),"Overdue",IF(E190="Sent to client","Waiting on client","On track"))))</f>
        <v/>
      </c>
      <c r="L190" s="2"/>
    </row>
    <row r="191" spans="1:12">
      <c r="A191" s="2"/>
      <c r="B191" s="2"/>
      <c r="C191" s="2"/>
      <c r="D191" s="2"/>
      <c r="E191" s="2"/>
      <c r="F191" s="3"/>
      <c r="G191" s="3"/>
      <c r="H191" s="3"/>
      <c r="I191" s="2"/>
      <c r="J191" s="2" t="str">
        <f ca="1">IF(OR(F191="",E191="Approved"),"",MAX(0,TODAY()-F191))</f>
        <v/>
      </c>
      <c r="K191" s="2" t="str">
        <f ca="1">IF(E191="","",IF(E191="Approved","Done",IF(AND(F191&lt;&gt;"",F191&lt;TODAY()),"Overdue",IF(E191="Sent to client","Waiting on client","On track"))))</f>
        <v/>
      </c>
      <c r="L191" s="2"/>
    </row>
    <row r="192" spans="1:12">
      <c r="A192" s="2"/>
      <c r="B192" s="2"/>
      <c r="C192" s="2"/>
      <c r="D192" s="2"/>
      <c r="E192" s="2"/>
      <c r="F192" s="3"/>
      <c r="G192" s="3"/>
      <c r="H192" s="3"/>
      <c r="I192" s="2"/>
      <c r="J192" s="2" t="str">
        <f ca="1">IF(OR(F192="",E192="Approved"),"",MAX(0,TODAY()-F192))</f>
        <v/>
      </c>
      <c r="K192" s="2" t="str">
        <f ca="1">IF(E192="","",IF(E192="Approved","Done",IF(AND(F192&lt;&gt;"",F192&lt;TODAY()),"Overdue",IF(E192="Sent to client","Waiting on client","On track"))))</f>
        <v/>
      </c>
      <c r="L192" s="2"/>
    </row>
    <row r="193" spans="1:12">
      <c r="A193" s="2"/>
      <c r="B193" s="2"/>
      <c r="C193" s="2"/>
      <c r="D193" s="2"/>
      <c r="E193" s="2"/>
      <c r="F193" s="3"/>
      <c r="G193" s="3"/>
      <c r="H193" s="3"/>
      <c r="I193" s="2"/>
      <c r="J193" s="2" t="str">
        <f ca="1">IF(OR(F193="",E193="Approved"),"",MAX(0,TODAY()-F193))</f>
        <v/>
      </c>
      <c r="K193" s="2" t="str">
        <f ca="1">IF(E193="","",IF(E193="Approved","Done",IF(AND(F193&lt;&gt;"",F193&lt;TODAY()),"Overdue",IF(E193="Sent to client","Waiting on client","On track"))))</f>
        <v/>
      </c>
      <c r="L193" s="2"/>
    </row>
    <row r="194" spans="1:12">
      <c r="A194" s="2"/>
      <c r="B194" s="2"/>
      <c r="C194" s="2"/>
      <c r="D194" s="2"/>
      <c r="E194" s="2"/>
      <c r="F194" s="3"/>
      <c r="G194" s="3"/>
      <c r="H194" s="3"/>
      <c r="I194" s="2"/>
      <c r="J194" s="2" t="str">
        <f ca="1">IF(OR(F194="",E194="Approved"),"",MAX(0,TODAY()-F194))</f>
        <v/>
      </c>
      <c r="K194" s="2" t="str">
        <f ca="1">IF(E194="","",IF(E194="Approved","Done",IF(AND(F194&lt;&gt;"",F194&lt;TODAY()),"Overdue",IF(E194="Sent to client","Waiting on client","On track"))))</f>
        <v/>
      </c>
      <c r="L194" s="2"/>
    </row>
    <row r="195" spans="1:12">
      <c r="A195" s="2"/>
      <c r="B195" s="2"/>
      <c r="C195" s="2"/>
      <c r="D195" s="2"/>
      <c r="E195" s="2"/>
      <c r="F195" s="3"/>
      <c r="G195" s="3"/>
      <c r="H195" s="3"/>
      <c r="I195" s="2"/>
      <c r="J195" s="2" t="str">
        <f ca="1">IF(OR(F195="",E195="Approved"),"",MAX(0,TODAY()-F195))</f>
        <v/>
      </c>
      <c r="K195" s="2" t="str">
        <f ca="1">IF(E195="","",IF(E195="Approved","Done",IF(AND(F195&lt;&gt;"",F195&lt;TODAY()),"Overdue",IF(E195="Sent to client","Waiting on client","On track"))))</f>
        <v/>
      </c>
      <c r="L195" s="2"/>
    </row>
    <row r="196" spans="1:12">
      <c r="A196" s="2"/>
      <c r="B196" s="2"/>
      <c r="C196" s="2"/>
      <c r="D196" s="2"/>
      <c r="E196" s="2"/>
      <c r="F196" s="3"/>
      <c r="G196" s="3"/>
      <c r="H196" s="3"/>
      <c r="I196" s="2"/>
      <c r="J196" s="2" t="str">
        <f ca="1">IF(OR(F196="",E196="Approved"),"",MAX(0,TODAY()-F196))</f>
        <v/>
      </c>
      <c r="K196" s="2" t="str">
        <f ca="1">IF(E196="","",IF(E196="Approved","Done",IF(AND(F196&lt;&gt;"",F196&lt;TODAY()),"Overdue",IF(E196="Sent to client","Waiting on client","On track"))))</f>
        <v/>
      </c>
      <c r="L196" s="2"/>
    </row>
    <row r="197" spans="1:12">
      <c r="A197" s="2"/>
      <c r="B197" s="2"/>
      <c r="C197" s="2"/>
      <c r="D197" s="2"/>
      <c r="E197" s="2"/>
      <c r="F197" s="3"/>
      <c r="G197" s="3"/>
      <c r="H197" s="3"/>
      <c r="I197" s="2"/>
      <c r="J197" s="2" t="str">
        <f ca="1">IF(OR(F197="",E197="Approved"),"",MAX(0,TODAY()-F197))</f>
        <v/>
      </c>
      <c r="K197" s="2" t="str">
        <f ca="1">IF(E197="","",IF(E197="Approved","Done",IF(AND(F197&lt;&gt;"",F197&lt;TODAY()),"Overdue",IF(E197="Sent to client","Waiting on client","On track"))))</f>
        <v/>
      </c>
      <c r="L197" s="2"/>
    </row>
    <row r="198" spans="1:12">
      <c r="A198" s="2"/>
      <c r="B198" s="2"/>
      <c r="C198" s="2"/>
      <c r="D198" s="2"/>
      <c r="E198" s="2"/>
      <c r="F198" s="3"/>
      <c r="G198" s="3"/>
      <c r="H198" s="3"/>
      <c r="I198" s="2"/>
      <c r="J198" s="2" t="str">
        <f ca="1">IF(OR(F198="",E198="Approved"),"",MAX(0,TODAY()-F198))</f>
        <v/>
      </c>
      <c r="K198" s="2" t="str">
        <f ca="1">IF(E198="","",IF(E198="Approved","Done",IF(AND(F198&lt;&gt;"",F198&lt;TODAY()),"Overdue",IF(E198="Sent to client","Waiting on client","On track"))))</f>
        <v/>
      </c>
      <c r="L198" s="2"/>
    </row>
    <row r="199" spans="1:12">
      <c r="A199" s="2"/>
      <c r="B199" s="2"/>
      <c r="C199" s="2"/>
      <c r="D199" s="2"/>
      <c r="E199" s="2"/>
      <c r="F199" s="3"/>
      <c r="G199" s="3"/>
      <c r="H199" s="3"/>
      <c r="I199" s="2"/>
      <c r="J199" s="2" t="str">
        <f ca="1">IF(OR(F199="",E199="Approved"),"",MAX(0,TODAY()-F199))</f>
        <v/>
      </c>
      <c r="K199" s="2" t="str">
        <f ca="1">IF(E199="","",IF(E199="Approved","Done",IF(AND(F199&lt;&gt;"",F199&lt;TODAY()),"Overdue",IF(E199="Sent to client","Waiting on client","On track"))))</f>
        <v/>
      </c>
      <c r="L199" s="2"/>
    </row>
    <row r="200" spans="1:12">
      <c r="A200" s="2"/>
      <c r="B200" s="2"/>
      <c r="C200" s="2"/>
      <c r="D200" s="2"/>
      <c r="E200" s="2"/>
      <c r="F200" s="3"/>
      <c r="G200" s="3"/>
      <c r="H200" s="3"/>
      <c r="I200" s="2"/>
      <c r="J200" s="2" t="str">
        <f ca="1">IF(OR(F200="",E200="Approved"),"",MAX(0,TODAY()-F200))</f>
        <v/>
      </c>
      <c r="K200" s="2" t="str">
        <f ca="1">IF(E200="","",IF(E200="Approved","Done",IF(AND(F200&lt;&gt;"",F200&lt;TODAY()),"Overdue",IF(E200="Sent to client","Waiting on client","On track"))))</f>
        <v/>
      </c>
      <c r="L200" s="2"/>
    </row>
    <row r="201" spans="1:12">
      <c r="A201" s="2"/>
      <c r="B201" s="2"/>
      <c r="C201" s="2"/>
      <c r="D201" s="2"/>
      <c r="E201" s="2"/>
      <c r="F201" s="3"/>
      <c r="G201" s="3"/>
      <c r="H201" s="3"/>
      <c r="I201" s="2"/>
      <c r="J201" s="2" t="str">
        <f ca="1">IF(OR(F201="",E201="Approved"),"",MAX(0,TODAY()-F201))</f>
        <v/>
      </c>
      <c r="K201" s="2" t="str">
        <f ca="1">IF(E201="","",IF(E201="Approved","Done",IF(AND(F201&lt;&gt;"",F201&lt;TODAY()),"Overdue",IF(E201="Sent to client","Waiting on client","On track"))))</f>
        <v/>
      </c>
      <c r="L201" s="2"/>
    </row>
    <row r="202" spans="1:12">
      <c r="A202" s="2"/>
      <c r="B202" s="2"/>
      <c r="C202" s="2"/>
      <c r="D202" s="2"/>
      <c r="E202" s="2"/>
      <c r="F202" s="3"/>
      <c r="G202" s="3"/>
      <c r="H202" s="3"/>
      <c r="I202" s="2"/>
      <c r="J202" s="2" t="str">
        <f ca="1">IF(OR(F202="",E202="Approved"),"",MAX(0,TODAY()-F202))</f>
        <v/>
      </c>
      <c r="K202" s="2" t="str">
        <f ca="1">IF(E202="","",IF(E202="Approved","Done",IF(AND(F202&lt;&gt;"",F202&lt;TODAY()),"Overdue",IF(E202="Sent to client","Waiting on client","On track"))))</f>
        <v/>
      </c>
      <c r="L202" s="2"/>
    </row>
    <row r="203" spans="1:12">
      <c r="A203" s="2"/>
      <c r="B203" s="2"/>
      <c r="C203" s="2"/>
      <c r="D203" s="2"/>
      <c r="E203" s="2"/>
      <c r="F203" s="3"/>
      <c r="G203" s="3"/>
      <c r="H203" s="3"/>
      <c r="I203" s="2"/>
      <c r="J203" s="2" t="str">
        <f ca="1">IF(OR(F203="",E203="Approved"),"",MAX(0,TODAY()-F203))</f>
        <v/>
      </c>
      <c r="K203" s="2" t="str">
        <f ca="1">IF(E203="","",IF(E203="Approved","Done",IF(AND(F203&lt;&gt;"",F203&lt;TODAY()),"Overdue",IF(E203="Sent to client","Waiting on client","On track"))))</f>
        <v/>
      </c>
      <c r="L203" s="2"/>
    </row>
    <row r="204" spans="1:12">
      <c r="A204" s="2"/>
      <c r="B204" s="2"/>
      <c r="C204" s="2"/>
      <c r="D204" s="2"/>
      <c r="E204" s="2"/>
      <c r="F204" s="3"/>
      <c r="G204" s="3"/>
      <c r="H204" s="3"/>
      <c r="I204" s="2"/>
      <c r="J204" s="2" t="str">
        <f ca="1">IF(OR(F204="",E204="Approved"),"",MAX(0,TODAY()-F204))</f>
        <v/>
      </c>
      <c r="K204" s="2" t="str">
        <f ca="1">IF(E204="","",IF(E204="Approved","Done",IF(AND(F204&lt;&gt;"",F204&lt;TODAY()),"Overdue",IF(E204="Sent to client","Waiting on client","On track"))))</f>
        <v/>
      </c>
      <c r="L204" s="2"/>
    </row>
    <row r="205" spans="1:12">
      <c r="A205" s="2"/>
      <c r="B205" s="2"/>
      <c r="C205" s="2"/>
      <c r="D205" s="2"/>
      <c r="E205" s="2"/>
      <c r="F205" s="3"/>
      <c r="G205" s="3"/>
      <c r="H205" s="3"/>
      <c r="I205" s="2"/>
      <c r="J205" s="2" t="str">
        <f ca="1">IF(OR(F205="",E205="Approved"),"",MAX(0,TODAY()-F205))</f>
        <v/>
      </c>
      <c r="K205" s="2" t="str">
        <f ca="1">IF(E205="","",IF(E205="Approved","Done",IF(AND(F205&lt;&gt;"",F205&lt;TODAY()),"Overdue",IF(E205="Sent to client","Waiting on client","On track"))))</f>
        <v/>
      </c>
      <c r="L205" s="2"/>
    </row>
    <row r="206" spans="1:12">
      <c r="A206" s="2"/>
      <c r="B206" s="2"/>
      <c r="C206" s="2"/>
      <c r="D206" s="2"/>
      <c r="E206" s="2"/>
      <c r="F206" s="3"/>
      <c r="G206" s="3"/>
      <c r="H206" s="3"/>
      <c r="I206" s="2"/>
      <c r="J206" s="2" t="str">
        <f ca="1">IF(OR(F206="",E206="Approved"),"",MAX(0,TODAY()-F206))</f>
        <v/>
      </c>
      <c r="K206" s="2" t="str">
        <f ca="1">IF(E206="","",IF(E206="Approved","Done",IF(AND(F206&lt;&gt;"",F206&lt;TODAY()),"Overdue",IF(E206="Sent to client","Waiting on client","On track"))))</f>
        <v/>
      </c>
      <c r="L206" s="2"/>
    </row>
    <row r="207" spans="1:12">
      <c r="A207" s="2"/>
      <c r="B207" s="2"/>
      <c r="C207" s="2"/>
      <c r="D207" s="2"/>
      <c r="E207" s="2"/>
      <c r="F207" s="3"/>
      <c r="G207" s="3"/>
      <c r="H207" s="3"/>
      <c r="I207" s="2"/>
      <c r="J207" s="2" t="str">
        <f ca="1">IF(OR(F207="",E207="Approved"),"",MAX(0,TODAY()-F207))</f>
        <v/>
      </c>
      <c r="K207" s="2" t="str">
        <f ca="1">IF(E207="","",IF(E207="Approved","Done",IF(AND(F207&lt;&gt;"",F207&lt;TODAY()),"Overdue",IF(E207="Sent to client","Waiting on client","On track"))))</f>
        <v/>
      </c>
      <c r="L207" s="2"/>
    </row>
    <row r="208" spans="1:12">
      <c r="A208" s="2"/>
      <c r="B208" s="2"/>
      <c r="C208" s="2"/>
      <c r="D208" s="2"/>
      <c r="E208" s="2"/>
      <c r="F208" s="3"/>
      <c r="G208" s="3"/>
      <c r="H208" s="3"/>
      <c r="I208" s="2"/>
      <c r="J208" s="2" t="str">
        <f ca="1">IF(OR(F208="",E208="Approved"),"",MAX(0,TODAY()-F208))</f>
        <v/>
      </c>
      <c r="K208" s="2" t="str">
        <f ca="1">IF(E208="","",IF(E208="Approved","Done",IF(AND(F208&lt;&gt;"",F208&lt;TODAY()),"Overdue",IF(E208="Sent to client","Waiting on client","On track"))))</f>
        <v/>
      </c>
      <c r="L208" s="2"/>
    </row>
    <row r="209" spans="1:12">
      <c r="A209" s="2"/>
      <c r="B209" s="2"/>
      <c r="C209" s="2"/>
      <c r="D209" s="2"/>
      <c r="E209" s="2"/>
      <c r="F209" s="3"/>
      <c r="G209" s="3"/>
      <c r="H209" s="3"/>
      <c r="I209" s="2"/>
      <c r="J209" s="2" t="str">
        <f ca="1">IF(OR(F209="",E209="Approved"),"",MAX(0,TODAY()-F209))</f>
        <v/>
      </c>
      <c r="K209" s="2" t="str">
        <f ca="1">IF(E209="","",IF(E209="Approved","Done",IF(AND(F209&lt;&gt;"",F209&lt;TODAY()),"Overdue",IF(E209="Sent to client","Waiting on client","On track"))))</f>
        <v/>
      </c>
      <c r="L209" s="2"/>
    </row>
    <row r="210" spans="1:12">
      <c r="A210" s="2"/>
      <c r="B210" s="2"/>
      <c r="C210" s="2"/>
      <c r="D210" s="2"/>
      <c r="E210" s="2"/>
      <c r="F210" s="3"/>
      <c r="G210" s="3"/>
      <c r="H210" s="3"/>
      <c r="I210" s="2"/>
      <c r="J210" s="2" t="str">
        <f ca="1">IF(OR(F210="",E210="Approved"),"",MAX(0,TODAY()-F210))</f>
        <v/>
      </c>
      <c r="K210" s="2" t="str">
        <f ca="1">IF(E210="","",IF(E210="Approved","Done",IF(AND(F210&lt;&gt;"",F210&lt;TODAY()),"Overdue",IF(E210="Sent to client","Waiting on client","On track"))))</f>
        <v/>
      </c>
      <c r="L210" s="2"/>
    </row>
  </sheetData>
  <autoFilter ref="A10:L210" xr:uid="{00000000-0009-0000-0000-000002000000}"/>
  <mergeCells count="12">
    <mergeCell ref="A1:L1"/>
    <mergeCell ref="A5:B5"/>
    <mergeCell ref="A8:L8"/>
    <mergeCell ref="G4:I4"/>
    <mergeCell ref="J4:L4"/>
    <mergeCell ref="C5:F5"/>
    <mergeCell ref="A4:B4"/>
    <mergeCell ref="J5:L5"/>
    <mergeCell ref="A2:L2"/>
    <mergeCell ref="A7:L7"/>
    <mergeCell ref="G5:I5"/>
    <mergeCell ref="C4:F4"/>
  </mergeCells>
  <conditionalFormatting sqref="E11:E210">
    <cfRule type="cellIs" dxfId="48" priority="1" operator="equal">
      <formula>"Brief"</formula>
    </cfRule>
    <cfRule type="cellIs" dxfId="47" priority="2" operator="equal">
      <formula>"In production"</formula>
    </cfRule>
    <cfRule type="cellIs" dxfId="46" priority="3" operator="equal">
      <formula>"Internal review"</formula>
    </cfRule>
    <cfRule type="cellIs" dxfId="45" priority="4" operator="equal">
      <formula>"Sent to client"</formula>
    </cfRule>
    <cfRule type="cellIs" dxfId="44" priority="5" operator="equal">
      <formula>"Revisions"</formula>
    </cfRule>
    <cfRule type="cellIs" dxfId="43" priority="6" operator="equal">
      <formula>"Approved"</formula>
    </cfRule>
  </conditionalFormatting>
  <conditionalFormatting sqref="K11:K210">
    <cfRule type="cellIs" dxfId="42" priority="7" operator="equal">
      <formula>"Overdue"</formula>
    </cfRule>
    <cfRule type="cellIs" dxfId="41" priority="8" operator="equal">
      <formula>"Waiting on client"</formula>
    </cfRule>
    <cfRule type="cellIs" dxfId="40" priority="9" operator="equal">
      <formula>"Done"</formula>
    </cfRule>
    <cfRule type="cellIs" dxfId="39" priority="10" operator="equal">
      <formula>"On track"</formula>
    </cfRule>
  </conditionalFormatting>
  <conditionalFormatting sqref="A11:L210">
    <cfRule type="expression" dxfId="38" priority="11">
      <formula>MOD(ROW(),2)=0</formula>
    </cfRule>
  </conditionalFormatting>
  <conditionalFormatting sqref="C5">
    <cfRule type="cellIs" dxfId="37" priority="12" operator="greaterThan">
      <formula>0</formula>
    </cfRule>
  </conditionalFormatting>
  <conditionalFormatting sqref="G5">
    <cfRule type="cellIs" dxfId="36" priority="13" operator="greaterThan">
      <formula>0</formula>
    </cfRule>
  </conditionalFormatting>
  <dataValidations count="1">
    <dataValidation type="list" allowBlank="1" sqref="E11:E210" xr:uid="{00000000-0002-0000-0200-000000000000}">
      <formula1>"Brief,In production,Internal review,Sent to client,Revisions,Approved"</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38CA"/>
  </sheetPr>
  <dimension ref="A1:L210"/>
  <sheetViews>
    <sheetView showGridLines="0" workbookViewId="0"/>
  </sheetViews>
  <sheetFormatPr defaultRowHeight="15"/>
  <cols>
    <col min="1" max="1" width="36" customWidth="1"/>
    <col min="2" max="2" width="16" customWidth="1"/>
    <col min="3" max="4" width="24" customWidth="1"/>
    <col min="5" max="5" width="18" customWidth="1"/>
    <col min="6" max="6" width="16" customWidth="1"/>
    <col min="7" max="7" width="14" customWidth="1"/>
    <col min="8" max="8" width="16" customWidth="1"/>
    <col min="9" max="11" width="14" customWidth="1"/>
    <col min="12" max="12" width="34" customWidth="1"/>
  </cols>
  <sheetData>
    <row r="1" spans="1:12" ht="36" customHeight="1">
      <c r="A1" s="4" t="s">
        <v>239</v>
      </c>
      <c r="B1" s="13"/>
      <c r="C1" s="13"/>
      <c r="D1" s="13"/>
      <c r="E1" s="13"/>
      <c r="F1" s="13"/>
      <c r="G1" s="13"/>
      <c r="H1" s="13"/>
      <c r="I1" s="13"/>
      <c r="J1" s="13"/>
      <c r="K1" s="13"/>
      <c r="L1" s="13"/>
    </row>
    <row r="2" spans="1:12" ht="24" customHeight="1">
      <c r="A2" s="9" t="s">
        <v>240</v>
      </c>
      <c r="B2" s="14"/>
      <c r="C2" s="14"/>
      <c r="D2" s="14"/>
      <c r="E2" s="14"/>
      <c r="F2" s="14"/>
      <c r="G2" s="14"/>
      <c r="H2" s="14"/>
      <c r="I2" s="14"/>
      <c r="J2" s="14"/>
      <c r="K2" s="14"/>
      <c r="L2" s="14"/>
    </row>
    <row r="3" spans="1:12" ht="8.1" customHeight="1"/>
    <row r="4" spans="1:12" ht="20.100000000000001" customHeight="1">
      <c r="A4" s="6" t="s">
        <v>241</v>
      </c>
      <c r="B4" s="15"/>
      <c r="C4" s="6" t="s">
        <v>242</v>
      </c>
      <c r="D4" s="15"/>
      <c r="E4" s="15"/>
      <c r="F4" s="6" t="s">
        <v>243</v>
      </c>
      <c r="G4" s="15"/>
      <c r="H4" s="15"/>
      <c r="I4" s="15"/>
      <c r="J4" s="6" t="s">
        <v>244</v>
      </c>
      <c r="K4" s="15"/>
      <c r="L4" s="15"/>
    </row>
    <row r="5" spans="1:12" ht="33.950000000000003" customHeight="1">
      <c r="A5" s="5">
        <f>COUNTIF($H$11:$H$210,"Requested")+COUNTIF($H$11:$H$210,"Reminder sent")+COUNTIF($H$11:$H$210,"Partly received")</f>
        <v>16</v>
      </c>
      <c r="B5" s="15"/>
      <c r="C5" s="5">
        <f ca="1">COUNTIF($K$11:$K$210,"Chase now")</f>
        <v>10</v>
      </c>
      <c r="D5" s="15"/>
      <c r="E5" s="15"/>
      <c r="F5" s="5">
        <f>COUNTIF($H$11:$H$210,"Received")</f>
        <v>8</v>
      </c>
      <c r="G5" s="15"/>
      <c r="H5" s="15"/>
      <c r="I5" s="15"/>
      <c r="J5" s="5">
        <f ca="1">IF(COUNT($J$11:$J$210)=0,0,MAX($J$11:$J$210))</f>
        <v>73</v>
      </c>
      <c r="K5" s="15"/>
      <c r="L5" s="15"/>
    </row>
    <row r="6" spans="1:12" ht="9.9499999999999993" customHeight="1"/>
    <row r="7" spans="1:12" ht="21.95" customHeight="1">
      <c r="A7" s="8" t="s">
        <v>6</v>
      </c>
      <c r="B7" s="16"/>
      <c r="C7" s="16"/>
      <c r="D7" s="16"/>
      <c r="E7" s="16"/>
      <c r="F7" s="16"/>
      <c r="G7" s="16"/>
      <c r="H7" s="16"/>
      <c r="I7" s="16"/>
      <c r="J7" s="16"/>
      <c r="K7" s="16"/>
      <c r="L7" s="16"/>
    </row>
    <row r="8" spans="1:12" ht="66" customHeight="1">
      <c r="A8" s="7" t="s">
        <v>245</v>
      </c>
      <c r="B8" s="14"/>
      <c r="C8" s="14"/>
      <c r="D8" s="14"/>
      <c r="E8" s="14"/>
      <c r="F8" s="14"/>
      <c r="G8" s="14"/>
      <c r="H8" s="14"/>
      <c r="I8" s="14"/>
      <c r="J8" s="14"/>
      <c r="K8" s="14"/>
      <c r="L8" s="14"/>
    </row>
    <row r="9" spans="1:12" ht="12" customHeight="1"/>
    <row r="10" spans="1:12" ht="32.1" customHeight="1">
      <c r="A10" s="1" t="s">
        <v>246</v>
      </c>
      <c r="B10" s="1" t="s">
        <v>247</v>
      </c>
      <c r="C10" s="1" t="s">
        <v>8</v>
      </c>
      <c r="D10" s="1" t="s">
        <v>90</v>
      </c>
      <c r="E10" s="1" t="s">
        <v>10</v>
      </c>
      <c r="F10" s="1" t="s">
        <v>248</v>
      </c>
      <c r="G10" s="1" t="s">
        <v>249</v>
      </c>
      <c r="H10" s="1" t="s">
        <v>9</v>
      </c>
      <c r="I10" s="1" t="s">
        <v>250</v>
      </c>
      <c r="J10" s="1" t="s">
        <v>251</v>
      </c>
      <c r="K10" s="1" t="s">
        <v>252</v>
      </c>
      <c r="L10" s="1" t="s">
        <v>16</v>
      </c>
    </row>
    <row r="11" spans="1:12">
      <c r="A11" s="2" t="s">
        <v>253</v>
      </c>
      <c r="B11" s="2" t="s">
        <v>254</v>
      </c>
      <c r="C11" s="2" t="s">
        <v>17</v>
      </c>
      <c r="D11" s="2" t="s">
        <v>98</v>
      </c>
      <c r="E11" s="2" t="s">
        <v>19</v>
      </c>
      <c r="F11" s="3">
        <v>46285</v>
      </c>
      <c r="G11" s="3">
        <v>46301</v>
      </c>
      <c r="H11" s="2" t="s">
        <v>255</v>
      </c>
      <c r="I11" s="3">
        <v>46303</v>
      </c>
      <c r="J11" s="2">
        <f ca="1">IF(OR(F11="",H11="Received",H11="Not needed"),"",MAX(0,TODAY()-F11))</f>
        <v>23</v>
      </c>
      <c r="K11" s="2" t="str">
        <f ca="1">IF(H11="","",IF(OR(H11="Received",H11="Not needed"),"Closed",IF(AND(G11&lt;&gt;"",G11&lt;TODAY()),"Chase now","Waiting")))</f>
        <v>Chase now</v>
      </c>
      <c r="L11" s="2" t="s">
        <v>256</v>
      </c>
    </row>
    <row r="12" spans="1:12">
      <c r="A12" s="2" t="s">
        <v>257</v>
      </c>
      <c r="B12" s="2" t="s">
        <v>254</v>
      </c>
      <c r="C12" s="2" t="s">
        <v>17</v>
      </c>
      <c r="D12" s="2" t="s">
        <v>101</v>
      </c>
      <c r="E12" s="2" t="s">
        <v>19</v>
      </c>
      <c r="F12" s="3">
        <v>46287</v>
      </c>
      <c r="G12" s="3">
        <v>46296</v>
      </c>
      <c r="H12" s="2" t="s">
        <v>243</v>
      </c>
      <c r="I12" s="3"/>
      <c r="J12" s="2" t="str">
        <f ca="1">IF(OR(F12="",H12="Received",H12="Not needed"),"",MAX(0,TODAY()-F12))</f>
        <v/>
      </c>
      <c r="K12" s="2" t="str">
        <f ca="1">IF(H12="","",IF(OR(H12="Received",H12="Not needed"),"Closed",IF(AND(G12&lt;&gt;"",G12&lt;TODAY()),"Chase now","Waiting")))</f>
        <v>Closed</v>
      </c>
      <c r="L12" s="2"/>
    </row>
    <row r="13" spans="1:12">
      <c r="A13" s="2" t="s">
        <v>258</v>
      </c>
      <c r="B13" s="2" t="s">
        <v>259</v>
      </c>
      <c r="C13" s="2" t="s">
        <v>17</v>
      </c>
      <c r="D13" s="2" t="s">
        <v>101</v>
      </c>
      <c r="E13" s="2" t="s">
        <v>19</v>
      </c>
      <c r="F13" s="3">
        <v>46281</v>
      </c>
      <c r="G13" s="3">
        <v>46290</v>
      </c>
      <c r="H13" s="2" t="s">
        <v>243</v>
      </c>
      <c r="I13" s="3"/>
      <c r="J13" s="2" t="str">
        <f ca="1">IF(OR(F13="",H13="Received",H13="Not needed"),"",MAX(0,TODAY()-F13))</f>
        <v/>
      </c>
      <c r="K13" s="2" t="str">
        <f ca="1">IF(H13="","",IF(OR(H13="Received",H13="Not needed"),"Closed",IF(AND(G13&lt;&gt;"",G13&lt;TODAY()),"Chase now","Waiting")))</f>
        <v>Closed</v>
      </c>
      <c r="L13" s="2"/>
    </row>
    <row r="14" spans="1:12">
      <c r="A14" s="2" t="s">
        <v>260</v>
      </c>
      <c r="B14" s="2" t="s">
        <v>259</v>
      </c>
      <c r="C14" s="2" t="s">
        <v>23</v>
      </c>
      <c r="D14" s="2" t="s">
        <v>106</v>
      </c>
      <c r="E14" s="2" t="s">
        <v>24</v>
      </c>
      <c r="F14" s="3">
        <v>46268</v>
      </c>
      <c r="G14" s="3">
        <v>46285</v>
      </c>
      <c r="H14" s="2" t="s">
        <v>261</v>
      </c>
      <c r="I14" s="3">
        <v>46301</v>
      </c>
      <c r="J14" s="2">
        <f ca="1">IF(OR(F14="",H14="Received",H14="Not needed"),"",MAX(0,TODAY()-F14))</f>
        <v>40</v>
      </c>
      <c r="K14" s="2" t="str">
        <f ca="1">IF(H14="","",IF(OR(H14="Received",H14="Not needed"),"Closed",IF(AND(G14&lt;&gt;"",G14&lt;TODAY()),"Chase now","Waiting")))</f>
        <v>Chase now</v>
      </c>
      <c r="L14" s="2" t="s">
        <v>262</v>
      </c>
    </row>
    <row r="15" spans="1:12">
      <c r="A15" s="2" t="s">
        <v>263</v>
      </c>
      <c r="B15" s="2" t="s">
        <v>264</v>
      </c>
      <c r="C15" s="2" t="s">
        <v>23</v>
      </c>
      <c r="D15" s="2" t="s">
        <v>106</v>
      </c>
      <c r="E15" s="2" t="s">
        <v>24</v>
      </c>
      <c r="F15" s="3">
        <v>46302</v>
      </c>
      <c r="G15" s="3">
        <v>46305</v>
      </c>
      <c r="H15" s="2" t="s">
        <v>265</v>
      </c>
      <c r="I15" s="3"/>
      <c r="J15" s="2">
        <f ca="1">IF(OR(F15="",H15="Received",H15="Not needed"),"",MAX(0,TODAY()-F15))</f>
        <v>6</v>
      </c>
      <c r="K15" s="2" t="str">
        <f ca="1">IF(H15="","",IF(OR(H15="Received",H15="Not needed"),"Closed",IF(AND(G15&lt;&gt;"",G15&lt;TODAY()),"Chase now","Waiting")))</f>
        <v>Chase now</v>
      </c>
      <c r="L15" s="2" t="s">
        <v>266</v>
      </c>
    </row>
    <row r="16" spans="1:12">
      <c r="A16" s="2" t="s">
        <v>267</v>
      </c>
      <c r="B16" s="2" t="s">
        <v>254</v>
      </c>
      <c r="C16" s="2" t="s">
        <v>28</v>
      </c>
      <c r="D16" s="2" t="s">
        <v>110</v>
      </c>
      <c r="E16" s="2" t="s">
        <v>29</v>
      </c>
      <c r="F16" s="3">
        <v>46239</v>
      </c>
      <c r="G16" s="3">
        <v>46254</v>
      </c>
      <c r="H16" s="2" t="s">
        <v>261</v>
      </c>
      <c r="I16" s="3">
        <v>46296</v>
      </c>
      <c r="J16" s="2">
        <f ca="1">IF(OR(F16="",H16="Received",H16="Not needed"),"",MAX(0,TODAY()-F16))</f>
        <v>69</v>
      </c>
      <c r="K16" s="2" t="str">
        <f ca="1">IF(H16="","",IF(OR(H16="Received",H16="Not needed"),"Closed",IF(AND(G16&lt;&gt;"",G16&lt;TODAY()),"Chase now","Waiting")))</f>
        <v>Chase now</v>
      </c>
      <c r="L16" s="2" t="s">
        <v>268</v>
      </c>
    </row>
    <row r="17" spans="1:12">
      <c r="A17" s="2" t="s">
        <v>269</v>
      </c>
      <c r="B17" s="2" t="s">
        <v>270</v>
      </c>
      <c r="C17" s="2" t="s">
        <v>28</v>
      </c>
      <c r="D17" s="2" t="s">
        <v>113</v>
      </c>
      <c r="E17" s="2" t="s">
        <v>29</v>
      </c>
      <c r="F17" s="3">
        <v>46297</v>
      </c>
      <c r="G17" s="3">
        <v>46318</v>
      </c>
      <c r="H17" s="2" t="s">
        <v>265</v>
      </c>
      <c r="I17" s="3"/>
      <c r="J17" s="2">
        <f ca="1">IF(OR(F17="",H17="Received",H17="Not needed"),"",MAX(0,TODAY()-F17))</f>
        <v>11</v>
      </c>
      <c r="K17" s="2" t="str">
        <f ca="1">IF(H17="","",IF(OR(H17="Received",H17="Not needed"),"Closed",IF(AND(G17&lt;&gt;"",G17&lt;TODAY()),"Chase now","Waiting")))</f>
        <v>Waiting</v>
      </c>
      <c r="L17" s="2"/>
    </row>
    <row r="18" spans="1:12">
      <c r="A18" s="2" t="s">
        <v>271</v>
      </c>
      <c r="B18" s="2" t="s">
        <v>259</v>
      </c>
      <c r="C18" s="2" t="s">
        <v>33</v>
      </c>
      <c r="D18" s="2" t="s">
        <v>117</v>
      </c>
      <c r="E18" s="2" t="s">
        <v>35</v>
      </c>
      <c r="F18" s="3">
        <v>46296</v>
      </c>
      <c r="G18" s="3">
        <v>46304</v>
      </c>
      <c r="H18" s="2" t="s">
        <v>243</v>
      </c>
      <c r="I18" s="3"/>
      <c r="J18" s="2" t="str">
        <f ca="1">IF(OR(F18="",H18="Received",H18="Not needed"),"",MAX(0,TODAY()-F18))</f>
        <v/>
      </c>
      <c r="K18" s="2" t="str">
        <f ca="1">IF(H18="","",IF(OR(H18="Received",H18="Not needed"),"Closed",IF(AND(G18&lt;&gt;"",G18&lt;TODAY()),"Chase now","Waiting")))</f>
        <v>Closed</v>
      </c>
      <c r="L18" s="2"/>
    </row>
    <row r="19" spans="1:12">
      <c r="A19" s="2" t="s">
        <v>272</v>
      </c>
      <c r="B19" s="2" t="s">
        <v>254</v>
      </c>
      <c r="C19" s="2" t="s">
        <v>33</v>
      </c>
      <c r="D19" s="2" t="s">
        <v>117</v>
      </c>
      <c r="E19" s="2" t="s">
        <v>35</v>
      </c>
      <c r="F19" s="3">
        <v>46296</v>
      </c>
      <c r="G19" s="3">
        <v>46315</v>
      </c>
      <c r="H19" s="2" t="s">
        <v>265</v>
      </c>
      <c r="I19" s="3"/>
      <c r="J19" s="2">
        <f ca="1">IF(OR(F19="",H19="Received",H19="Not needed"),"",MAX(0,TODAY()-F19))</f>
        <v>12</v>
      </c>
      <c r="K19" s="2" t="str">
        <f ca="1">IF(H19="","",IF(OR(H19="Received",H19="Not needed"),"Closed",IF(AND(G19&lt;&gt;"",G19&lt;TODAY()),"Chase now","Waiting")))</f>
        <v>Waiting</v>
      </c>
      <c r="L19" s="2"/>
    </row>
    <row r="20" spans="1:12">
      <c r="A20" s="2" t="s">
        <v>273</v>
      </c>
      <c r="B20" s="2" t="s">
        <v>254</v>
      </c>
      <c r="C20" s="2" t="s">
        <v>38</v>
      </c>
      <c r="D20" s="2" t="s">
        <v>120</v>
      </c>
      <c r="E20" s="2" t="s">
        <v>19</v>
      </c>
      <c r="F20" s="3">
        <v>46254</v>
      </c>
      <c r="G20" s="3">
        <v>46275</v>
      </c>
      <c r="H20" s="2" t="s">
        <v>243</v>
      </c>
      <c r="I20" s="3"/>
      <c r="J20" s="2" t="str">
        <f ca="1">IF(OR(F20="",H20="Received",H20="Not needed"),"",MAX(0,TODAY()-F20))</f>
        <v/>
      </c>
      <c r="K20" s="2" t="str">
        <f ca="1">IF(H20="","",IF(OR(H20="Received",H20="Not needed"),"Closed",IF(AND(G20&lt;&gt;"",G20&lt;TODAY()),"Chase now","Waiting")))</f>
        <v>Closed</v>
      </c>
      <c r="L20" s="2"/>
    </row>
    <row r="21" spans="1:12">
      <c r="A21" s="2" t="s">
        <v>274</v>
      </c>
      <c r="B21" s="2" t="s">
        <v>264</v>
      </c>
      <c r="C21" s="2" t="s">
        <v>38</v>
      </c>
      <c r="D21" s="2" t="s">
        <v>120</v>
      </c>
      <c r="E21" s="2" t="s">
        <v>19</v>
      </c>
      <c r="F21" s="3">
        <v>46303</v>
      </c>
      <c r="G21" s="3">
        <v>46310</v>
      </c>
      <c r="H21" s="2" t="s">
        <v>265</v>
      </c>
      <c r="I21" s="3"/>
      <c r="J21" s="2">
        <f ca="1">IF(OR(F21="",H21="Received",H21="Not needed"),"",MAX(0,TODAY()-F21))</f>
        <v>5</v>
      </c>
      <c r="K21" s="2" t="str">
        <f ca="1">IF(H21="","",IF(OR(H21="Received",H21="Not needed"),"Closed",IF(AND(G21&lt;&gt;"",G21&lt;TODAY()),"Chase now","Waiting")))</f>
        <v>Waiting</v>
      </c>
      <c r="L21" s="2"/>
    </row>
    <row r="22" spans="1:12">
      <c r="A22" s="2" t="s">
        <v>275</v>
      </c>
      <c r="B22" s="2" t="s">
        <v>270</v>
      </c>
      <c r="C22" s="2" t="s">
        <v>41</v>
      </c>
      <c r="D22" s="2" t="s">
        <v>123</v>
      </c>
      <c r="E22" s="2" t="s">
        <v>24</v>
      </c>
      <c r="F22" s="3">
        <v>46259</v>
      </c>
      <c r="G22" s="3">
        <v>46280</v>
      </c>
      <c r="H22" s="2" t="s">
        <v>261</v>
      </c>
      <c r="I22" s="3">
        <v>46294</v>
      </c>
      <c r="J22" s="2">
        <f ca="1">IF(OR(F22="",H22="Received",H22="Not needed"),"",MAX(0,TODAY()-F22))</f>
        <v>49</v>
      </c>
      <c r="K22" s="2" t="str">
        <f ca="1">IF(H22="","",IF(OR(H22="Received",H22="Not needed"),"Closed",IF(AND(G22&lt;&gt;"",G22&lt;TODAY()),"Chase now","Waiting")))</f>
        <v>Chase now</v>
      </c>
      <c r="L22" s="2" t="s">
        <v>276</v>
      </c>
    </row>
    <row r="23" spans="1:12">
      <c r="A23" s="2" t="s">
        <v>277</v>
      </c>
      <c r="B23" s="2" t="s">
        <v>254</v>
      </c>
      <c r="C23" s="2" t="s">
        <v>45</v>
      </c>
      <c r="D23" s="2" t="s">
        <v>127</v>
      </c>
      <c r="E23" s="2" t="s">
        <v>29</v>
      </c>
      <c r="F23" s="3">
        <v>46300</v>
      </c>
      <c r="G23" s="3">
        <v>46307</v>
      </c>
      <c r="H23" s="2" t="s">
        <v>243</v>
      </c>
      <c r="I23" s="3"/>
      <c r="J23" s="2" t="str">
        <f ca="1">IF(OR(F23="",H23="Received",H23="Not needed"),"",MAX(0,TODAY()-F23))</f>
        <v/>
      </c>
      <c r="K23" s="2" t="str">
        <f ca="1">IF(H23="","",IF(OR(H23="Received",H23="Not needed"),"Closed",IF(AND(G23&lt;&gt;"",G23&lt;TODAY()),"Chase now","Waiting")))</f>
        <v>Closed</v>
      </c>
      <c r="L23" s="2"/>
    </row>
    <row r="24" spans="1:12">
      <c r="A24" s="2" t="s">
        <v>278</v>
      </c>
      <c r="B24" s="2" t="s">
        <v>270</v>
      </c>
      <c r="C24" s="2" t="s">
        <v>45</v>
      </c>
      <c r="D24" s="2" t="s">
        <v>127</v>
      </c>
      <c r="E24" s="2" t="s">
        <v>29</v>
      </c>
      <c r="F24" s="3">
        <v>46300</v>
      </c>
      <c r="G24" s="3">
        <v>46309</v>
      </c>
      <c r="H24" s="2" t="s">
        <v>255</v>
      </c>
      <c r="I24" s="3"/>
      <c r="J24" s="2">
        <f ca="1">IF(OR(F24="",H24="Received",H24="Not needed"),"",MAX(0,TODAY()-F24))</f>
        <v>8</v>
      </c>
      <c r="K24" s="2" t="str">
        <f ca="1">IF(H24="","",IF(OR(H24="Received",H24="Not needed"),"Closed",IF(AND(G24&lt;&gt;"",G24&lt;TODAY()),"Chase now","Waiting")))</f>
        <v>Waiting</v>
      </c>
      <c r="L24" s="2" t="s">
        <v>279</v>
      </c>
    </row>
    <row r="25" spans="1:12">
      <c r="A25" s="2" t="s">
        <v>280</v>
      </c>
      <c r="B25" s="2" t="s">
        <v>254</v>
      </c>
      <c r="C25" s="2" t="s">
        <v>48</v>
      </c>
      <c r="D25" s="2" t="s">
        <v>132</v>
      </c>
      <c r="E25" s="2" t="s">
        <v>35</v>
      </c>
      <c r="F25" s="3">
        <v>46301</v>
      </c>
      <c r="G25" s="3">
        <v>46315</v>
      </c>
      <c r="H25" s="2" t="s">
        <v>281</v>
      </c>
      <c r="I25" s="3"/>
      <c r="J25" s="2" t="str">
        <f ca="1">IF(OR(F25="",H25="Received",H25="Not needed"),"",MAX(0,TODAY()-F25))</f>
        <v/>
      </c>
      <c r="K25" s="2" t="str">
        <f ca="1">IF(H25="","",IF(OR(H25="Received",H25="Not needed"),"Closed",IF(AND(G25&lt;&gt;"",G25&lt;TODAY()),"Chase now","Waiting")))</f>
        <v>Closed</v>
      </c>
      <c r="L25" s="2" t="s">
        <v>282</v>
      </c>
    </row>
    <row r="26" spans="1:12">
      <c r="A26" s="2" t="s">
        <v>283</v>
      </c>
      <c r="B26" s="2" t="s">
        <v>254</v>
      </c>
      <c r="C26" s="2" t="s">
        <v>52</v>
      </c>
      <c r="D26" s="2" t="s">
        <v>135</v>
      </c>
      <c r="E26" s="2" t="s">
        <v>24</v>
      </c>
      <c r="F26" s="3">
        <v>46280</v>
      </c>
      <c r="G26" s="3">
        <v>46296</v>
      </c>
      <c r="H26" s="2" t="s">
        <v>243</v>
      </c>
      <c r="I26" s="3"/>
      <c r="J26" s="2" t="str">
        <f ca="1">IF(OR(F26="",H26="Received",H26="Not needed"),"",MAX(0,TODAY()-F26))</f>
        <v/>
      </c>
      <c r="K26" s="2" t="str">
        <f ca="1">IF(H26="","",IF(OR(H26="Received",H26="Not needed"),"Closed",IF(AND(G26&lt;&gt;"",G26&lt;TODAY()),"Chase now","Waiting")))</f>
        <v>Closed</v>
      </c>
      <c r="L26" s="2"/>
    </row>
    <row r="27" spans="1:12">
      <c r="A27" s="2" t="s">
        <v>284</v>
      </c>
      <c r="B27" s="2" t="s">
        <v>259</v>
      </c>
      <c r="C27" s="2" t="s">
        <v>52</v>
      </c>
      <c r="D27" s="2" t="s">
        <v>135</v>
      </c>
      <c r="E27" s="2" t="s">
        <v>24</v>
      </c>
      <c r="F27" s="3">
        <v>46296</v>
      </c>
      <c r="G27" s="3">
        <v>46307</v>
      </c>
      <c r="H27" s="2" t="s">
        <v>261</v>
      </c>
      <c r="I27" s="3">
        <v>46304</v>
      </c>
      <c r="J27" s="2">
        <f ca="1">IF(OR(F27="",H27="Received",H27="Not needed"),"",MAX(0,TODAY()-F27))</f>
        <v>12</v>
      </c>
      <c r="K27" s="2" t="str">
        <f ca="1">IF(H27="","",IF(OR(H27="Received",H27="Not needed"),"Closed",IF(AND(G27&lt;&gt;"",G27&lt;TODAY()),"Chase now","Waiting")))</f>
        <v>Chase now</v>
      </c>
      <c r="L27" s="2" t="s">
        <v>285</v>
      </c>
    </row>
    <row r="28" spans="1:12">
      <c r="A28" s="2" t="s">
        <v>286</v>
      </c>
      <c r="B28" s="2" t="s">
        <v>254</v>
      </c>
      <c r="C28" s="2" t="s">
        <v>55</v>
      </c>
      <c r="D28" s="2" t="s">
        <v>138</v>
      </c>
      <c r="E28" s="2" t="s">
        <v>35</v>
      </c>
      <c r="F28" s="3">
        <v>46259</v>
      </c>
      <c r="G28" s="3">
        <v>46280</v>
      </c>
      <c r="H28" s="2" t="s">
        <v>255</v>
      </c>
      <c r="I28" s="3">
        <v>46300</v>
      </c>
      <c r="J28" s="2">
        <f ca="1">IF(OR(F28="",H28="Received",H28="Not needed"),"",MAX(0,TODAY()-F28))</f>
        <v>49</v>
      </c>
      <c r="K28" s="2" t="str">
        <f ca="1">IF(H28="","",IF(OR(H28="Received",H28="Not needed"),"Closed",IF(AND(G28&lt;&gt;"",G28&lt;TODAY()),"Chase now","Waiting")))</f>
        <v>Chase now</v>
      </c>
      <c r="L28" s="2" t="s">
        <v>287</v>
      </c>
    </row>
    <row r="29" spans="1:12">
      <c r="A29" s="2" t="s">
        <v>288</v>
      </c>
      <c r="B29" s="2" t="s">
        <v>264</v>
      </c>
      <c r="C29" s="2" t="s">
        <v>55</v>
      </c>
      <c r="D29" s="2" t="s">
        <v>138</v>
      </c>
      <c r="E29" s="2" t="s">
        <v>35</v>
      </c>
      <c r="F29" s="3">
        <v>46297</v>
      </c>
      <c r="G29" s="3">
        <v>46304</v>
      </c>
      <c r="H29" s="2" t="s">
        <v>265</v>
      </c>
      <c r="I29" s="3"/>
      <c r="J29" s="2">
        <f ca="1">IF(OR(F29="",H29="Received",H29="Not needed"),"",MAX(0,TODAY()-F29))</f>
        <v>11</v>
      </c>
      <c r="K29" s="2" t="str">
        <f ca="1">IF(H29="","",IF(OR(H29="Received",H29="Not needed"),"Closed",IF(AND(G29&lt;&gt;"",G29&lt;TODAY()),"Chase now","Waiting")))</f>
        <v>Chase now</v>
      </c>
      <c r="L29" s="2"/>
    </row>
    <row r="30" spans="1:12">
      <c r="A30" s="2" t="s">
        <v>289</v>
      </c>
      <c r="B30" s="2" t="s">
        <v>270</v>
      </c>
      <c r="C30" s="2" t="s">
        <v>58</v>
      </c>
      <c r="D30" s="2" t="s">
        <v>141</v>
      </c>
      <c r="E30" s="2" t="s">
        <v>19</v>
      </c>
      <c r="F30" s="3">
        <v>46300</v>
      </c>
      <c r="G30" s="3">
        <v>46321</v>
      </c>
      <c r="H30" s="2" t="s">
        <v>265</v>
      </c>
      <c r="I30" s="3"/>
      <c r="J30" s="2">
        <f ca="1">IF(OR(F30="",H30="Received",H30="Not needed"),"",MAX(0,TODAY()-F30))</f>
        <v>8</v>
      </c>
      <c r="K30" s="2" t="str">
        <f ca="1">IF(H30="","",IF(OR(H30="Received",H30="Not needed"),"Closed",IF(AND(G30&lt;&gt;"",G30&lt;TODAY()),"Chase now","Waiting")))</f>
        <v>Waiting</v>
      </c>
      <c r="L30" s="2"/>
    </row>
    <row r="31" spans="1:12">
      <c r="A31" s="2" t="s">
        <v>290</v>
      </c>
      <c r="B31" s="2" t="s">
        <v>259</v>
      </c>
      <c r="C31" s="2" t="s">
        <v>61</v>
      </c>
      <c r="D31" s="2" t="s">
        <v>144</v>
      </c>
      <c r="E31" s="2" t="s">
        <v>29</v>
      </c>
      <c r="F31" s="3">
        <v>46307</v>
      </c>
      <c r="G31" s="3">
        <v>46321</v>
      </c>
      <c r="H31" s="2" t="s">
        <v>265</v>
      </c>
      <c r="I31" s="3"/>
      <c r="J31" s="2">
        <f ca="1">IF(OR(F31="",H31="Received",H31="Not needed"),"",MAX(0,TODAY()-F31))</f>
        <v>1</v>
      </c>
      <c r="K31" s="2" t="str">
        <f ca="1">IF(H31="","",IF(OR(H31="Received",H31="Not needed"),"Closed",IF(AND(G31&lt;&gt;"",G31&lt;TODAY()),"Chase now","Waiting")))</f>
        <v>Waiting</v>
      </c>
      <c r="L31" s="2"/>
    </row>
    <row r="32" spans="1:12">
      <c r="A32" s="2" t="s">
        <v>291</v>
      </c>
      <c r="B32" s="2" t="s">
        <v>270</v>
      </c>
      <c r="C32" s="2" t="s">
        <v>64</v>
      </c>
      <c r="D32" s="2" t="s">
        <v>147</v>
      </c>
      <c r="E32" s="2" t="s">
        <v>24</v>
      </c>
      <c r="F32" s="3">
        <v>46254</v>
      </c>
      <c r="G32" s="3">
        <v>46275</v>
      </c>
      <c r="H32" s="2" t="s">
        <v>261</v>
      </c>
      <c r="I32" s="3">
        <v>46302</v>
      </c>
      <c r="J32" s="2">
        <f ca="1">IF(OR(F32="",H32="Received",H32="Not needed"),"",MAX(0,TODAY()-F32))</f>
        <v>54</v>
      </c>
      <c r="K32" s="2" t="str">
        <f ca="1">IF(H32="","",IF(OR(H32="Received",H32="Not needed"),"Closed",IF(AND(G32&lt;&gt;"",G32&lt;TODAY()),"Chase now","Waiting")))</f>
        <v>Chase now</v>
      </c>
      <c r="L32" s="2" t="s">
        <v>292</v>
      </c>
    </row>
    <row r="33" spans="1:12">
      <c r="A33" s="2" t="s">
        <v>293</v>
      </c>
      <c r="B33" s="2" t="s">
        <v>254</v>
      </c>
      <c r="C33" s="2" t="s">
        <v>67</v>
      </c>
      <c r="D33" s="2" t="s">
        <v>150</v>
      </c>
      <c r="E33" s="2" t="s">
        <v>35</v>
      </c>
      <c r="F33" s="3">
        <v>46294</v>
      </c>
      <c r="G33" s="3">
        <v>46305</v>
      </c>
      <c r="H33" s="2" t="s">
        <v>243</v>
      </c>
      <c r="I33" s="3"/>
      <c r="J33" s="2" t="str">
        <f ca="1">IF(OR(F33="",H33="Received",H33="Not needed"),"",MAX(0,TODAY()-F33))</f>
        <v/>
      </c>
      <c r="K33" s="2" t="str">
        <f ca="1">IF(H33="","",IF(OR(H33="Received",H33="Not needed"),"Closed",IF(AND(G33&lt;&gt;"",G33&lt;TODAY()),"Chase now","Waiting")))</f>
        <v>Closed</v>
      </c>
      <c r="L33" s="2"/>
    </row>
    <row r="34" spans="1:12">
      <c r="A34" s="2" t="s">
        <v>294</v>
      </c>
      <c r="B34" s="2" t="s">
        <v>264</v>
      </c>
      <c r="C34" s="2" t="s">
        <v>70</v>
      </c>
      <c r="D34" s="2" t="s">
        <v>153</v>
      </c>
      <c r="E34" s="2" t="s">
        <v>19</v>
      </c>
      <c r="F34" s="3">
        <v>46235</v>
      </c>
      <c r="G34" s="3">
        <v>46264</v>
      </c>
      <c r="H34" s="2" t="s">
        <v>261</v>
      </c>
      <c r="I34" s="3">
        <v>46285</v>
      </c>
      <c r="J34" s="2">
        <f ca="1">IF(OR(F34="",H34="Received",H34="Not needed"),"",MAX(0,TODAY()-F34))</f>
        <v>73</v>
      </c>
      <c r="K34" s="2" t="str">
        <f ca="1">IF(H34="","",IF(OR(H34="Received",H34="Not needed"),"Closed",IF(AND(G34&lt;&gt;"",G34&lt;TODAY()),"Chase now","Waiting")))</f>
        <v>Chase now</v>
      </c>
      <c r="L34" s="2" t="s">
        <v>295</v>
      </c>
    </row>
    <row r="35" spans="1:12">
      <c r="A35" s="2" t="s">
        <v>296</v>
      </c>
      <c r="B35" s="2" t="s">
        <v>254</v>
      </c>
      <c r="C35" s="2" t="s">
        <v>73</v>
      </c>
      <c r="D35" s="2" t="s">
        <v>156</v>
      </c>
      <c r="E35" s="2" t="s">
        <v>29</v>
      </c>
      <c r="F35" s="3">
        <v>46262</v>
      </c>
      <c r="G35" s="3">
        <v>46275</v>
      </c>
      <c r="H35" s="2" t="s">
        <v>243</v>
      </c>
      <c r="I35" s="3"/>
      <c r="J35" s="2" t="str">
        <f ca="1">IF(OR(F35="",H35="Received",H35="Not needed"),"",MAX(0,TODAY()-F35))</f>
        <v/>
      </c>
      <c r="K35" s="2" t="str">
        <f ca="1">IF(H35="","",IF(OR(H35="Received",H35="Not needed"),"Closed",IF(AND(G35&lt;&gt;"",G35&lt;TODAY()),"Chase now","Waiting")))</f>
        <v>Closed</v>
      </c>
      <c r="L35" s="2"/>
    </row>
    <row r="36" spans="1:12">
      <c r="A36" s="2"/>
      <c r="B36" s="2"/>
      <c r="C36" s="2"/>
      <c r="D36" s="2"/>
      <c r="E36" s="2"/>
      <c r="F36" s="3"/>
      <c r="G36" s="3"/>
      <c r="H36" s="2"/>
      <c r="I36" s="3"/>
      <c r="J36" s="2" t="str">
        <f ca="1">IF(OR(F36="",H36="Received",H36="Not needed"),"",MAX(0,TODAY()-F36))</f>
        <v/>
      </c>
      <c r="K36" s="2" t="str">
        <f ca="1">IF(H36="","",IF(OR(H36="Received",H36="Not needed"),"Closed",IF(AND(G36&lt;&gt;"",G36&lt;TODAY()),"Chase now","Waiting")))</f>
        <v/>
      </c>
      <c r="L36" s="2"/>
    </row>
    <row r="37" spans="1:12">
      <c r="A37" s="2"/>
      <c r="B37" s="2"/>
      <c r="C37" s="2"/>
      <c r="D37" s="2"/>
      <c r="E37" s="2"/>
      <c r="F37" s="3"/>
      <c r="G37" s="3"/>
      <c r="H37" s="2"/>
      <c r="I37" s="3"/>
      <c r="J37" s="2" t="str">
        <f ca="1">IF(OR(F37="",H37="Received",H37="Not needed"),"",MAX(0,TODAY()-F37))</f>
        <v/>
      </c>
      <c r="K37" s="2" t="str">
        <f ca="1">IF(H37="","",IF(OR(H37="Received",H37="Not needed"),"Closed",IF(AND(G37&lt;&gt;"",G37&lt;TODAY()),"Chase now","Waiting")))</f>
        <v/>
      </c>
      <c r="L37" s="2"/>
    </row>
    <row r="38" spans="1:12">
      <c r="A38" s="2"/>
      <c r="B38" s="2"/>
      <c r="C38" s="2"/>
      <c r="D38" s="2"/>
      <c r="E38" s="2"/>
      <c r="F38" s="3"/>
      <c r="G38" s="3"/>
      <c r="H38" s="2"/>
      <c r="I38" s="3"/>
      <c r="J38" s="2" t="str">
        <f ca="1">IF(OR(F38="",H38="Received",H38="Not needed"),"",MAX(0,TODAY()-F38))</f>
        <v/>
      </c>
      <c r="K38" s="2" t="str">
        <f ca="1">IF(H38="","",IF(OR(H38="Received",H38="Not needed"),"Closed",IF(AND(G38&lt;&gt;"",G38&lt;TODAY()),"Chase now","Waiting")))</f>
        <v/>
      </c>
      <c r="L38" s="2"/>
    </row>
    <row r="39" spans="1:12">
      <c r="A39" s="2"/>
      <c r="B39" s="2"/>
      <c r="C39" s="2"/>
      <c r="D39" s="2"/>
      <c r="E39" s="2"/>
      <c r="F39" s="3"/>
      <c r="G39" s="3"/>
      <c r="H39" s="2"/>
      <c r="I39" s="3"/>
      <c r="J39" s="2" t="str">
        <f ca="1">IF(OR(F39="",H39="Received",H39="Not needed"),"",MAX(0,TODAY()-F39))</f>
        <v/>
      </c>
      <c r="K39" s="2" t="str">
        <f ca="1">IF(H39="","",IF(OR(H39="Received",H39="Not needed"),"Closed",IF(AND(G39&lt;&gt;"",G39&lt;TODAY()),"Chase now","Waiting")))</f>
        <v/>
      </c>
      <c r="L39" s="2"/>
    </row>
    <row r="40" spans="1:12">
      <c r="A40" s="2"/>
      <c r="B40" s="2"/>
      <c r="C40" s="2"/>
      <c r="D40" s="2"/>
      <c r="E40" s="2"/>
      <c r="F40" s="3"/>
      <c r="G40" s="3"/>
      <c r="H40" s="2"/>
      <c r="I40" s="3"/>
      <c r="J40" s="2" t="str">
        <f ca="1">IF(OR(F40="",H40="Received",H40="Not needed"),"",MAX(0,TODAY()-F40))</f>
        <v/>
      </c>
      <c r="K40" s="2" t="str">
        <f ca="1">IF(H40="","",IF(OR(H40="Received",H40="Not needed"),"Closed",IF(AND(G40&lt;&gt;"",G40&lt;TODAY()),"Chase now","Waiting")))</f>
        <v/>
      </c>
      <c r="L40" s="2"/>
    </row>
    <row r="41" spans="1:12">
      <c r="A41" s="2"/>
      <c r="B41" s="2"/>
      <c r="C41" s="2"/>
      <c r="D41" s="2"/>
      <c r="E41" s="2"/>
      <c r="F41" s="3"/>
      <c r="G41" s="3"/>
      <c r="H41" s="2"/>
      <c r="I41" s="3"/>
      <c r="J41" s="2" t="str">
        <f ca="1">IF(OR(F41="",H41="Received",H41="Not needed"),"",MAX(0,TODAY()-F41))</f>
        <v/>
      </c>
      <c r="K41" s="2" t="str">
        <f ca="1">IF(H41="","",IF(OR(H41="Received",H41="Not needed"),"Closed",IF(AND(G41&lt;&gt;"",G41&lt;TODAY()),"Chase now","Waiting")))</f>
        <v/>
      </c>
      <c r="L41" s="2"/>
    </row>
    <row r="42" spans="1:12">
      <c r="A42" s="2"/>
      <c r="B42" s="2"/>
      <c r="C42" s="2"/>
      <c r="D42" s="2"/>
      <c r="E42" s="2"/>
      <c r="F42" s="3"/>
      <c r="G42" s="3"/>
      <c r="H42" s="2"/>
      <c r="I42" s="3"/>
      <c r="J42" s="2" t="str">
        <f ca="1">IF(OR(F42="",H42="Received",H42="Not needed"),"",MAX(0,TODAY()-F42))</f>
        <v/>
      </c>
      <c r="K42" s="2" t="str">
        <f ca="1">IF(H42="","",IF(OR(H42="Received",H42="Not needed"),"Closed",IF(AND(G42&lt;&gt;"",G42&lt;TODAY()),"Chase now","Waiting")))</f>
        <v/>
      </c>
      <c r="L42" s="2"/>
    </row>
    <row r="43" spans="1:12">
      <c r="A43" s="2"/>
      <c r="B43" s="2"/>
      <c r="C43" s="2"/>
      <c r="D43" s="2"/>
      <c r="E43" s="2"/>
      <c r="F43" s="3"/>
      <c r="G43" s="3"/>
      <c r="H43" s="2"/>
      <c r="I43" s="3"/>
      <c r="J43" s="2" t="str">
        <f ca="1">IF(OR(F43="",H43="Received",H43="Not needed"),"",MAX(0,TODAY()-F43))</f>
        <v/>
      </c>
      <c r="K43" s="2" t="str">
        <f ca="1">IF(H43="","",IF(OR(H43="Received",H43="Not needed"),"Closed",IF(AND(G43&lt;&gt;"",G43&lt;TODAY()),"Chase now","Waiting")))</f>
        <v/>
      </c>
      <c r="L43" s="2"/>
    </row>
    <row r="44" spans="1:12">
      <c r="A44" s="2"/>
      <c r="B44" s="2"/>
      <c r="C44" s="2"/>
      <c r="D44" s="2"/>
      <c r="E44" s="2"/>
      <c r="F44" s="3"/>
      <c r="G44" s="3"/>
      <c r="H44" s="2"/>
      <c r="I44" s="3"/>
      <c r="J44" s="2" t="str">
        <f ca="1">IF(OR(F44="",H44="Received",H44="Not needed"),"",MAX(0,TODAY()-F44))</f>
        <v/>
      </c>
      <c r="K44" s="2" t="str">
        <f ca="1">IF(H44="","",IF(OR(H44="Received",H44="Not needed"),"Closed",IF(AND(G44&lt;&gt;"",G44&lt;TODAY()),"Chase now","Waiting")))</f>
        <v/>
      </c>
      <c r="L44" s="2"/>
    </row>
    <row r="45" spans="1:12">
      <c r="A45" s="2"/>
      <c r="B45" s="2"/>
      <c r="C45" s="2"/>
      <c r="D45" s="2"/>
      <c r="E45" s="2"/>
      <c r="F45" s="3"/>
      <c r="G45" s="3"/>
      <c r="H45" s="2"/>
      <c r="I45" s="3"/>
      <c r="J45" s="2" t="str">
        <f ca="1">IF(OR(F45="",H45="Received",H45="Not needed"),"",MAX(0,TODAY()-F45))</f>
        <v/>
      </c>
      <c r="K45" s="2" t="str">
        <f ca="1">IF(H45="","",IF(OR(H45="Received",H45="Not needed"),"Closed",IF(AND(G45&lt;&gt;"",G45&lt;TODAY()),"Chase now","Waiting")))</f>
        <v/>
      </c>
      <c r="L45" s="2"/>
    </row>
    <row r="46" spans="1:12">
      <c r="A46" s="2"/>
      <c r="B46" s="2"/>
      <c r="C46" s="2"/>
      <c r="D46" s="2"/>
      <c r="E46" s="2"/>
      <c r="F46" s="3"/>
      <c r="G46" s="3"/>
      <c r="H46" s="2"/>
      <c r="I46" s="3"/>
      <c r="J46" s="2" t="str">
        <f ca="1">IF(OR(F46="",H46="Received",H46="Not needed"),"",MAX(0,TODAY()-F46))</f>
        <v/>
      </c>
      <c r="K46" s="2" t="str">
        <f ca="1">IF(H46="","",IF(OR(H46="Received",H46="Not needed"),"Closed",IF(AND(G46&lt;&gt;"",G46&lt;TODAY()),"Chase now","Waiting")))</f>
        <v/>
      </c>
      <c r="L46" s="2"/>
    </row>
    <row r="47" spans="1:12">
      <c r="A47" s="2"/>
      <c r="B47" s="2"/>
      <c r="C47" s="2"/>
      <c r="D47" s="2"/>
      <c r="E47" s="2"/>
      <c r="F47" s="3"/>
      <c r="G47" s="3"/>
      <c r="H47" s="2"/>
      <c r="I47" s="3"/>
      <c r="J47" s="2" t="str">
        <f ca="1">IF(OR(F47="",H47="Received",H47="Not needed"),"",MAX(0,TODAY()-F47))</f>
        <v/>
      </c>
      <c r="K47" s="2" t="str">
        <f ca="1">IF(H47="","",IF(OR(H47="Received",H47="Not needed"),"Closed",IF(AND(G47&lt;&gt;"",G47&lt;TODAY()),"Chase now","Waiting")))</f>
        <v/>
      </c>
      <c r="L47" s="2"/>
    </row>
    <row r="48" spans="1:12">
      <c r="A48" s="2"/>
      <c r="B48" s="2"/>
      <c r="C48" s="2"/>
      <c r="D48" s="2"/>
      <c r="E48" s="2"/>
      <c r="F48" s="3"/>
      <c r="G48" s="3"/>
      <c r="H48" s="2"/>
      <c r="I48" s="3"/>
      <c r="J48" s="2" t="str">
        <f ca="1">IF(OR(F48="",H48="Received",H48="Not needed"),"",MAX(0,TODAY()-F48))</f>
        <v/>
      </c>
      <c r="K48" s="2" t="str">
        <f ca="1">IF(H48="","",IF(OR(H48="Received",H48="Not needed"),"Closed",IF(AND(G48&lt;&gt;"",G48&lt;TODAY()),"Chase now","Waiting")))</f>
        <v/>
      </c>
      <c r="L48" s="2"/>
    </row>
    <row r="49" spans="1:12">
      <c r="A49" s="2"/>
      <c r="B49" s="2"/>
      <c r="C49" s="2"/>
      <c r="D49" s="2"/>
      <c r="E49" s="2"/>
      <c r="F49" s="3"/>
      <c r="G49" s="3"/>
      <c r="H49" s="2"/>
      <c r="I49" s="3"/>
      <c r="J49" s="2" t="str">
        <f ca="1">IF(OR(F49="",H49="Received",H49="Not needed"),"",MAX(0,TODAY()-F49))</f>
        <v/>
      </c>
      <c r="K49" s="2" t="str">
        <f ca="1">IF(H49="","",IF(OR(H49="Received",H49="Not needed"),"Closed",IF(AND(G49&lt;&gt;"",G49&lt;TODAY()),"Chase now","Waiting")))</f>
        <v/>
      </c>
      <c r="L49" s="2"/>
    </row>
    <row r="50" spans="1:12">
      <c r="A50" s="2"/>
      <c r="B50" s="2"/>
      <c r="C50" s="2"/>
      <c r="D50" s="2"/>
      <c r="E50" s="2"/>
      <c r="F50" s="3"/>
      <c r="G50" s="3"/>
      <c r="H50" s="2"/>
      <c r="I50" s="3"/>
      <c r="J50" s="2" t="str">
        <f ca="1">IF(OR(F50="",H50="Received",H50="Not needed"),"",MAX(0,TODAY()-F50))</f>
        <v/>
      </c>
      <c r="K50" s="2" t="str">
        <f ca="1">IF(H50="","",IF(OR(H50="Received",H50="Not needed"),"Closed",IF(AND(G50&lt;&gt;"",G50&lt;TODAY()),"Chase now","Waiting")))</f>
        <v/>
      </c>
      <c r="L50" s="2"/>
    </row>
    <row r="51" spans="1:12">
      <c r="A51" s="2"/>
      <c r="B51" s="2"/>
      <c r="C51" s="2"/>
      <c r="D51" s="2"/>
      <c r="E51" s="2"/>
      <c r="F51" s="3"/>
      <c r="G51" s="3"/>
      <c r="H51" s="2"/>
      <c r="I51" s="3"/>
      <c r="J51" s="2" t="str">
        <f ca="1">IF(OR(F51="",H51="Received",H51="Not needed"),"",MAX(0,TODAY()-F51))</f>
        <v/>
      </c>
      <c r="K51" s="2" t="str">
        <f ca="1">IF(H51="","",IF(OR(H51="Received",H51="Not needed"),"Closed",IF(AND(G51&lt;&gt;"",G51&lt;TODAY()),"Chase now","Waiting")))</f>
        <v/>
      </c>
      <c r="L51" s="2"/>
    </row>
    <row r="52" spans="1:12">
      <c r="A52" s="2"/>
      <c r="B52" s="2"/>
      <c r="C52" s="2"/>
      <c r="D52" s="2"/>
      <c r="E52" s="2"/>
      <c r="F52" s="3"/>
      <c r="G52" s="3"/>
      <c r="H52" s="2"/>
      <c r="I52" s="3"/>
      <c r="J52" s="2" t="str">
        <f ca="1">IF(OR(F52="",H52="Received",H52="Not needed"),"",MAX(0,TODAY()-F52))</f>
        <v/>
      </c>
      <c r="K52" s="2" t="str">
        <f ca="1">IF(H52="","",IF(OR(H52="Received",H52="Not needed"),"Closed",IF(AND(G52&lt;&gt;"",G52&lt;TODAY()),"Chase now","Waiting")))</f>
        <v/>
      </c>
      <c r="L52" s="2"/>
    </row>
    <row r="53" spans="1:12">
      <c r="A53" s="2"/>
      <c r="B53" s="2"/>
      <c r="C53" s="2"/>
      <c r="D53" s="2"/>
      <c r="E53" s="2"/>
      <c r="F53" s="3"/>
      <c r="G53" s="3"/>
      <c r="H53" s="2"/>
      <c r="I53" s="3"/>
      <c r="J53" s="2" t="str">
        <f ca="1">IF(OR(F53="",H53="Received",H53="Not needed"),"",MAX(0,TODAY()-F53))</f>
        <v/>
      </c>
      <c r="K53" s="2" t="str">
        <f ca="1">IF(H53="","",IF(OR(H53="Received",H53="Not needed"),"Closed",IF(AND(G53&lt;&gt;"",G53&lt;TODAY()),"Chase now","Waiting")))</f>
        <v/>
      </c>
      <c r="L53" s="2"/>
    </row>
    <row r="54" spans="1:12">
      <c r="A54" s="2"/>
      <c r="B54" s="2"/>
      <c r="C54" s="2"/>
      <c r="D54" s="2"/>
      <c r="E54" s="2"/>
      <c r="F54" s="3"/>
      <c r="G54" s="3"/>
      <c r="H54" s="2"/>
      <c r="I54" s="3"/>
      <c r="J54" s="2" t="str">
        <f ca="1">IF(OR(F54="",H54="Received",H54="Not needed"),"",MAX(0,TODAY()-F54))</f>
        <v/>
      </c>
      <c r="K54" s="2" t="str">
        <f ca="1">IF(H54="","",IF(OR(H54="Received",H54="Not needed"),"Closed",IF(AND(G54&lt;&gt;"",G54&lt;TODAY()),"Chase now","Waiting")))</f>
        <v/>
      </c>
      <c r="L54" s="2"/>
    </row>
    <row r="55" spans="1:12">
      <c r="A55" s="2"/>
      <c r="B55" s="2"/>
      <c r="C55" s="2"/>
      <c r="D55" s="2"/>
      <c r="E55" s="2"/>
      <c r="F55" s="3"/>
      <c r="G55" s="3"/>
      <c r="H55" s="2"/>
      <c r="I55" s="3"/>
      <c r="J55" s="2" t="str">
        <f ca="1">IF(OR(F55="",H55="Received",H55="Not needed"),"",MAX(0,TODAY()-F55))</f>
        <v/>
      </c>
      <c r="K55" s="2" t="str">
        <f ca="1">IF(H55="","",IF(OR(H55="Received",H55="Not needed"),"Closed",IF(AND(G55&lt;&gt;"",G55&lt;TODAY()),"Chase now","Waiting")))</f>
        <v/>
      </c>
      <c r="L55" s="2"/>
    </row>
    <row r="56" spans="1:12">
      <c r="A56" s="2"/>
      <c r="B56" s="2"/>
      <c r="C56" s="2"/>
      <c r="D56" s="2"/>
      <c r="E56" s="2"/>
      <c r="F56" s="3"/>
      <c r="G56" s="3"/>
      <c r="H56" s="2"/>
      <c r="I56" s="3"/>
      <c r="J56" s="2" t="str">
        <f ca="1">IF(OR(F56="",H56="Received",H56="Not needed"),"",MAX(0,TODAY()-F56))</f>
        <v/>
      </c>
      <c r="K56" s="2" t="str">
        <f ca="1">IF(H56="","",IF(OR(H56="Received",H56="Not needed"),"Closed",IF(AND(G56&lt;&gt;"",G56&lt;TODAY()),"Chase now","Waiting")))</f>
        <v/>
      </c>
      <c r="L56" s="2"/>
    </row>
    <row r="57" spans="1:12">
      <c r="A57" s="2"/>
      <c r="B57" s="2"/>
      <c r="C57" s="2"/>
      <c r="D57" s="2"/>
      <c r="E57" s="2"/>
      <c r="F57" s="3"/>
      <c r="G57" s="3"/>
      <c r="H57" s="2"/>
      <c r="I57" s="3"/>
      <c r="J57" s="2" t="str">
        <f ca="1">IF(OR(F57="",H57="Received",H57="Not needed"),"",MAX(0,TODAY()-F57))</f>
        <v/>
      </c>
      <c r="K57" s="2" t="str">
        <f ca="1">IF(H57="","",IF(OR(H57="Received",H57="Not needed"),"Closed",IF(AND(G57&lt;&gt;"",G57&lt;TODAY()),"Chase now","Waiting")))</f>
        <v/>
      </c>
      <c r="L57" s="2"/>
    </row>
    <row r="58" spans="1:12">
      <c r="A58" s="2"/>
      <c r="B58" s="2"/>
      <c r="C58" s="2"/>
      <c r="D58" s="2"/>
      <c r="E58" s="2"/>
      <c r="F58" s="3"/>
      <c r="G58" s="3"/>
      <c r="H58" s="2"/>
      <c r="I58" s="3"/>
      <c r="J58" s="2" t="str">
        <f ca="1">IF(OR(F58="",H58="Received",H58="Not needed"),"",MAX(0,TODAY()-F58))</f>
        <v/>
      </c>
      <c r="K58" s="2" t="str">
        <f ca="1">IF(H58="","",IF(OR(H58="Received",H58="Not needed"),"Closed",IF(AND(G58&lt;&gt;"",G58&lt;TODAY()),"Chase now","Waiting")))</f>
        <v/>
      </c>
      <c r="L58" s="2"/>
    </row>
    <row r="59" spans="1:12">
      <c r="A59" s="2"/>
      <c r="B59" s="2"/>
      <c r="C59" s="2"/>
      <c r="D59" s="2"/>
      <c r="E59" s="2"/>
      <c r="F59" s="3"/>
      <c r="G59" s="3"/>
      <c r="H59" s="2"/>
      <c r="I59" s="3"/>
      <c r="J59" s="2" t="str">
        <f ca="1">IF(OR(F59="",H59="Received",H59="Not needed"),"",MAX(0,TODAY()-F59))</f>
        <v/>
      </c>
      <c r="K59" s="2" t="str">
        <f ca="1">IF(H59="","",IF(OR(H59="Received",H59="Not needed"),"Closed",IF(AND(G59&lt;&gt;"",G59&lt;TODAY()),"Chase now","Waiting")))</f>
        <v/>
      </c>
      <c r="L59" s="2"/>
    </row>
    <row r="60" spans="1:12">
      <c r="A60" s="2"/>
      <c r="B60" s="2"/>
      <c r="C60" s="2"/>
      <c r="D60" s="2"/>
      <c r="E60" s="2"/>
      <c r="F60" s="3"/>
      <c r="G60" s="3"/>
      <c r="H60" s="2"/>
      <c r="I60" s="3"/>
      <c r="J60" s="2" t="str">
        <f ca="1">IF(OR(F60="",H60="Received",H60="Not needed"),"",MAX(0,TODAY()-F60))</f>
        <v/>
      </c>
      <c r="K60" s="2" t="str">
        <f ca="1">IF(H60="","",IF(OR(H60="Received",H60="Not needed"),"Closed",IF(AND(G60&lt;&gt;"",G60&lt;TODAY()),"Chase now","Waiting")))</f>
        <v/>
      </c>
      <c r="L60" s="2"/>
    </row>
    <row r="61" spans="1:12">
      <c r="A61" s="2"/>
      <c r="B61" s="2"/>
      <c r="C61" s="2"/>
      <c r="D61" s="2"/>
      <c r="E61" s="2"/>
      <c r="F61" s="3"/>
      <c r="G61" s="3"/>
      <c r="H61" s="2"/>
      <c r="I61" s="3"/>
      <c r="J61" s="2" t="str">
        <f ca="1">IF(OR(F61="",H61="Received",H61="Not needed"),"",MAX(0,TODAY()-F61))</f>
        <v/>
      </c>
      <c r="K61" s="2" t="str">
        <f ca="1">IF(H61="","",IF(OR(H61="Received",H61="Not needed"),"Closed",IF(AND(G61&lt;&gt;"",G61&lt;TODAY()),"Chase now","Waiting")))</f>
        <v/>
      </c>
      <c r="L61" s="2"/>
    </row>
    <row r="62" spans="1:12">
      <c r="A62" s="2"/>
      <c r="B62" s="2"/>
      <c r="C62" s="2"/>
      <c r="D62" s="2"/>
      <c r="E62" s="2"/>
      <c r="F62" s="3"/>
      <c r="G62" s="3"/>
      <c r="H62" s="2"/>
      <c r="I62" s="3"/>
      <c r="J62" s="2" t="str">
        <f ca="1">IF(OR(F62="",H62="Received",H62="Not needed"),"",MAX(0,TODAY()-F62))</f>
        <v/>
      </c>
      <c r="K62" s="2" t="str">
        <f ca="1">IF(H62="","",IF(OR(H62="Received",H62="Not needed"),"Closed",IF(AND(G62&lt;&gt;"",G62&lt;TODAY()),"Chase now","Waiting")))</f>
        <v/>
      </c>
      <c r="L62" s="2"/>
    </row>
    <row r="63" spans="1:12">
      <c r="A63" s="2"/>
      <c r="B63" s="2"/>
      <c r="C63" s="2"/>
      <c r="D63" s="2"/>
      <c r="E63" s="2"/>
      <c r="F63" s="3"/>
      <c r="G63" s="3"/>
      <c r="H63" s="2"/>
      <c r="I63" s="3"/>
      <c r="J63" s="2" t="str">
        <f ca="1">IF(OR(F63="",H63="Received",H63="Not needed"),"",MAX(0,TODAY()-F63))</f>
        <v/>
      </c>
      <c r="K63" s="2" t="str">
        <f ca="1">IF(H63="","",IF(OR(H63="Received",H63="Not needed"),"Closed",IF(AND(G63&lt;&gt;"",G63&lt;TODAY()),"Chase now","Waiting")))</f>
        <v/>
      </c>
      <c r="L63" s="2"/>
    </row>
    <row r="64" spans="1:12">
      <c r="A64" s="2"/>
      <c r="B64" s="2"/>
      <c r="C64" s="2"/>
      <c r="D64" s="2"/>
      <c r="E64" s="2"/>
      <c r="F64" s="3"/>
      <c r="G64" s="3"/>
      <c r="H64" s="2"/>
      <c r="I64" s="3"/>
      <c r="J64" s="2" t="str">
        <f ca="1">IF(OR(F64="",H64="Received",H64="Not needed"),"",MAX(0,TODAY()-F64))</f>
        <v/>
      </c>
      <c r="K64" s="2" t="str">
        <f ca="1">IF(H64="","",IF(OR(H64="Received",H64="Not needed"),"Closed",IF(AND(G64&lt;&gt;"",G64&lt;TODAY()),"Chase now","Waiting")))</f>
        <v/>
      </c>
      <c r="L64" s="2"/>
    </row>
    <row r="65" spans="1:12">
      <c r="A65" s="2"/>
      <c r="B65" s="2"/>
      <c r="C65" s="2"/>
      <c r="D65" s="2"/>
      <c r="E65" s="2"/>
      <c r="F65" s="3"/>
      <c r="G65" s="3"/>
      <c r="H65" s="2"/>
      <c r="I65" s="3"/>
      <c r="J65" s="2" t="str">
        <f ca="1">IF(OR(F65="",H65="Received",H65="Not needed"),"",MAX(0,TODAY()-F65))</f>
        <v/>
      </c>
      <c r="K65" s="2" t="str">
        <f ca="1">IF(H65="","",IF(OR(H65="Received",H65="Not needed"),"Closed",IF(AND(G65&lt;&gt;"",G65&lt;TODAY()),"Chase now","Waiting")))</f>
        <v/>
      </c>
      <c r="L65" s="2"/>
    </row>
    <row r="66" spans="1:12">
      <c r="A66" s="2"/>
      <c r="B66" s="2"/>
      <c r="C66" s="2"/>
      <c r="D66" s="2"/>
      <c r="E66" s="2"/>
      <c r="F66" s="3"/>
      <c r="G66" s="3"/>
      <c r="H66" s="2"/>
      <c r="I66" s="3"/>
      <c r="J66" s="2" t="str">
        <f ca="1">IF(OR(F66="",H66="Received",H66="Not needed"),"",MAX(0,TODAY()-F66))</f>
        <v/>
      </c>
      <c r="K66" s="2" t="str">
        <f ca="1">IF(H66="","",IF(OR(H66="Received",H66="Not needed"),"Closed",IF(AND(G66&lt;&gt;"",G66&lt;TODAY()),"Chase now","Waiting")))</f>
        <v/>
      </c>
      <c r="L66" s="2"/>
    </row>
    <row r="67" spans="1:12">
      <c r="A67" s="2"/>
      <c r="B67" s="2"/>
      <c r="C67" s="2"/>
      <c r="D67" s="2"/>
      <c r="E67" s="2"/>
      <c r="F67" s="3"/>
      <c r="G67" s="3"/>
      <c r="H67" s="2"/>
      <c r="I67" s="3"/>
      <c r="J67" s="2" t="str">
        <f ca="1">IF(OR(F67="",H67="Received",H67="Not needed"),"",MAX(0,TODAY()-F67))</f>
        <v/>
      </c>
      <c r="K67" s="2" t="str">
        <f ca="1">IF(H67="","",IF(OR(H67="Received",H67="Not needed"),"Closed",IF(AND(G67&lt;&gt;"",G67&lt;TODAY()),"Chase now","Waiting")))</f>
        <v/>
      </c>
      <c r="L67" s="2"/>
    </row>
    <row r="68" spans="1:12">
      <c r="A68" s="2"/>
      <c r="B68" s="2"/>
      <c r="C68" s="2"/>
      <c r="D68" s="2"/>
      <c r="E68" s="2"/>
      <c r="F68" s="3"/>
      <c r="G68" s="3"/>
      <c r="H68" s="2"/>
      <c r="I68" s="3"/>
      <c r="J68" s="2" t="str">
        <f ca="1">IF(OR(F68="",H68="Received",H68="Not needed"),"",MAX(0,TODAY()-F68))</f>
        <v/>
      </c>
      <c r="K68" s="2" t="str">
        <f ca="1">IF(H68="","",IF(OR(H68="Received",H68="Not needed"),"Closed",IF(AND(G68&lt;&gt;"",G68&lt;TODAY()),"Chase now","Waiting")))</f>
        <v/>
      </c>
      <c r="L68" s="2"/>
    </row>
    <row r="69" spans="1:12">
      <c r="A69" s="2"/>
      <c r="B69" s="2"/>
      <c r="C69" s="2"/>
      <c r="D69" s="2"/>
      <c r="E69" s="2"/>
      <c r="F69" s="3"/>
      <c r="G69" s="3"/>
      <c r="H69" s="2"/>
      <c r="I69" s="3"/>
      <c r="J69" s="2" t="str">
        <f ca="1">IF(OR(F69="",H69="Received",H69="Not needed"),"",MAX(0,TODAY()-F69))</f>
        <v/>
      </c>
      <c r="K69" s="2" t="str">
        <f ca="1">IF(H69="","",IF(OR(H69="Received",H69="Not needed"),"Closed",IF(AND(G69&lt;&gt;"",G69&lt;TODAY()),"Chase now","Waiting")))</f>
        <v/>
      </c>
      <c r="L69" s="2"/>
    </row>
    <row r="70" spans="1:12">
      <c r="A70" s="2"/>
      <c r="B70" s="2"/>
      <c r="C70" s="2"/>
      <c r="D70" s="2"/>
      <c r="E70" s="2"/>
      <c r="F70" s="3"/>
      <c r="G70" s="3"/>
      <c r="H70" s="2"/>
      <c r="I70" s="3"/>
      <c r="J70" s="2" t="str">
        <f ca="1">IF(OR(F70="",H70="Received",H70="Not needed"),"",MAX(0,TODAY()-F70))</f>
        <v/>
      </c>
      <c r="K70" s="2" t="str">
        <f ca="1">IF(H70="","",IF(OR(H70="Received",H70="Not needed"),"Closed",IF(AND(G70&lt;&gt;"",G70&lt;TODAY()),"Chase now","Waiting")))</f>
        <v/>
      </c>
      <c r="L70" s="2"/>
    </row>
    <row r="71" spans="1:12">
      <c r="A71" s="2"/>
      <c r="B71" s="2"/>
      <c r="C71" s="2"/>
      <c r="D71" s="2"/>
      <c r="E71" s="2"/>
      <c r="F71" s="3"/>
      <c r="G71" s="3"/>
      <c r="H71" s="2"/>
      <c r="I71" s="3"/>
      <c r="J71" s="2" t="str">
        <f ca="1">IF(OR(F71="",H71="Received",H71="Not needed"),"",MAX(0,TODAY()-F71))</f>
        <v/>
      </c>
      <c r="K71" s="2" t="str">
        <f ca="1">IF(H71="","",IF(OR(H71="Received",H71="Not needed"),"Closed",IF(AND(G71&lt;&gt;"",G71&lt;TODAY()),"Chase now","Waiting")))</f>
        <v/>
      </c>
      <c r="L71" s="2"/>
    </row>
    <row r="72" spans="1:12">
      <c r="A72" s="2"/>
      <c r="B72" s="2"/>
      <c r="C72" s="2"/>
      <c r="D72" s="2"/>
      <c r="E72" s="2"/>
      <c r="F72" s="3"/>
      <c r="G72" s="3"/>
      <c r="H72" s="2"/>
      <c r="I72" s="3"/>
      <c r="J72" s="2" t="str">
        <f ca="1">IF(OR(F72="",H72="Received",H72="Not needed"),"",MAX(0,TODAY()-F72))</f>
        <v/>
      </c>
      <c r="K72" s="2" t="str">
        <f ca="1">IF(H72="","",IF(OR(H72="Received",H72="Not needed"),"Closed",IF(AND(G72&lt;&gt;"",G72&lt;TODAY()),"Chase now","Waiting")))</f>
        <v/>
      </c>
      <c r="L72" s="2"/>
    </row>
    <row r="73" spans="1:12">
      <c r="A73" s="2"/>
      <c r="B73" s="2"/>
      <c r="C73" s="2"/>
      <c r="D73" s="2"/>
      <c r="E73" s="2"/>
      <c r="F73" s="3"/>
      <c r="G73" s="3"/>
      <c r="H73" s="2"/>
      <c r="I73" s="3"/>
      <c r="J73" s="2" t="str">
        <f ca="1">IF(OR(F73="",H73="Received",H73="Not needed"),"",MAX(0,TODAY()-F73))</f>
        <v/>
      </c>
      <c r="K73" s="2" t="str">
        <f ca="1">IF(H73="","",IF(OR(H73="Received",H73="Not needed"),"Closed",IF(AND(G73&lt;&gt;"",G73&lt;TODAY()),"Chase now","Waiting")))</f>
        <v/>
      </c>
      <c r="L73" s="2"/>
    </row>
    <row r="74" spans="1:12">
      <c r="A74" s="2"/>
      <c r="B74" s="2"/>
      <c r="C74" s="2"/>
      <c r="D74" s="2"/>
      <c r="E74" s="2"/>
      <c r="F74" s="3"/>
      <c r="G74" s="3"/>
      <c r="H74" s="2"/>
      <c r="I74" s="3"/>
      <c r="J74" s="2" t="str">
        <f ca="1">IF(OR(F74="",H74="Received",H74="Not needed"),"",MAX(0,TODAY()-F74))</f>
        <v/>
      </c>
      <c r="K74" s="2" t="str">
        <f ca="1">IF(H74="","",IF(OR(H74="Received",H74="Not needed"),"Closed",IF(AND(G74&lt;&gt;"",G74&lt;TODAY()),"Chase now","Waiting")))</f>
        <v/>
      </c>
      <c r="L74" s="2"/>
    </row>
    <row r="75" spans="1:12">
      <c r="A75" s="2"/>
      <c r="B75" s="2"/>
      <c r="C75" s="2"/>
      <c r="D75" s="2"/>
      <c r="E75" s="2"/>
      <c r="F75" s="3"/>
      <c r="G75" s="3"/>
      <c r="H75" s="2"/>
      <c r="I75" s="3"/>
      <c r="J75" s="2" t="str">
        <f ca="1">IF(OR(F75="",H75="Received",H75="Not needed"),"",MAX(0,TODAY()-F75))</f>
        <v/>
      </c>
      <c r="K75" s="2" t="str">
        <f ca="1">IF(H75="","",IF(OR(H75="Received",H75="Not needed"),"Closed",IF(AND(G75&lt;&gt;"",G75&lt;TODAY()),"Chase now","Waiting")))</f>
        <v/>
      </c>
      <c r="L75" s="2"/>
    </row>
    <row r="76" spans="1:12">
      <c r="A76" s="2"/>
      <c r="B76" s="2"/>
      <c r="C76" s="2"/>
      <c r="D76" s="2"/>
      <c r="E76" s="2"/>
      <c r="F76" s="3"/>
      <c r="G76" s="3"/>
      <c r="H76" s="2"/>
      <c r="I76" s="3"/>
      <c r="J76" s="2" t="str">
        <f ca="1">IF(OR(F76="",H76="Received",H76="Not needed"),"",MAX(0,TODAY()-F76))</f>
        <v/>
      </c>
      <c r="K76" s="2" t="str">
        <f ca="1">IF(H76="","",IF(OR(H76="Received",H76="Not needed"),"Closed",IF(AND(G76&lt;&gt;"",G76&lt;TODAY()),"Chase now","Waiting")))</f>
        <v/>
      </c>
      <c r="L76" s="2"/>
    </row>
    <row r="77" spans="1:12">
      <c r="A77" s="2"/>
      <c r="B77" s="2"/>
      <c r="C77" s="2"/>
      <c r="D77" s="2"/>
      <c r="E77" s="2"/>
      <c r="F77" s="3"/>
      <c r="G77" s="3"/>
      <c r="H77" s="2"/>
      <c r="I77" s="3"/>
      <c r="J77" s="2" t="str">
        <f ca="1">IF(OR(F77="",H77="Received",H77="Not needed"),"",MAX(0,TODAY()-F77))</f>
        <v/>
      </c>
      <c r="K77" s="2" t="str">
        <f ca="1">IF(H77="","",IF(OR(H77="Received",H77="Not needed"),"Closed",IF(AND(G77&lt;&gt;"",G77&lt;TODAY()),"Chase now","Waiting")))</f>
        <v/>
      </c>
      <c r="L77" s="2"/>
    </row>
    <row r="78" spans="1:12">
      <c r="A78" s="2"/>
      <c r="B78" s="2"/>
      <c r="C78" s="2"/>
      <c r="D78" s="2"/>
      <c r="E78" s="2"/>
      <c r="F78" s="3"/>
      <c r="G78" s="3"/>
      <c r="H78" s="2"/>
      <c r="I78" s="3"/>
      <c r="J78" s="2" t="str">
        <f ca="1">IF(OR(F78="",H78="Received",H78="Not needed"),"",MAX(0,TODAY()-F78))</f>
        <v/>
      </c>
      <c r="K78" s="2" t="str">
        <f ca="1">IF(H78="","",IF(OR(H78="Received",H78="Not needed"),"Closed",IF(AND(G78&lt;&gt;"",G78&lt;TODAY()),"Chase now","Waiting")))</f>
        <v/>
      </c>
      <c r="L78" s="2"/>
    </row>
    <row r="79" spans="1:12">
      <c r="A79" s="2"/>
      <c r="B79" s="2"/>
      <c r="C79" s="2"/>
      <c r="D79" s="2"/>
      <c r="E79" s="2"/>
      <c r="F79" s="3"/>
      <c r="G79" s="3"/>
      <c r="H79" s="2"/>
      <c r="I79" s="3"/>
      <c r="J79" s="2" t="str">
        <f ca="1">IF(OR(F79="",H79="Received",H79="Not needed"),"",MAX(0,TODAY()-F79))</f>
        <v/>
      </c>
      <c r="K79" s="2" t="str">
        <f ca="1">IF(H79="","",IF(OR(H79="Received",H79="Not needed"),"Closed",IF(AND(G79&lt;&gt;"",G79&lt;TODAY()),"Chase now","Waiting")))</f>
        <v/>
      </c>
      <c r="L79" s="2"/>
    </row>
    <row r="80" spans="1:12">
      <c r="A80" s="2"/>
      <c r="B80" s="2"/>
      <c r="C80" s="2"/>
      <c r="D80" s="2"/>
      <c r="E80" s="2"/>
      <c r="F80" s="3"/>
      <c r="G80" s="3"/>
      <c r="H80" s="2"/>
      <c r="I80" s="3"/>
      <c r="J80" s="2" t="str">
        <f ca="1">IF(OR(F80="",H80="Received",H80="Not needed"),"",MAX(0,TODAY()-F80))</f>
        <v/>
      </c>
      <c r="K80" s="2" t="str">
        <f ca="1">IF(H80="","",IF(OR(H80="Received",H80="Not needed"),"Closed",IF(AND(G80&lt;&gt;"",G80&lt;TODAY()),"Chase now","Waiting")))</f>
        <v/>
      </c>
      <c r="L80" s="2"/>
    </row>
    <row r="81" spans="1:12">
      <c r="A81" s="2"/>
      <c r="B81" s="2"/>
      <c r="C81" s="2"/>
      <c r="D81" s="2"/>
      <c r="E81" s="2"/>
      <c r="F81" s="3"/>
      <c r="G81" s="3"/>
      <c r="H81" s="2"/>
      <c r="I81" s="3"/>
      <c r="J81" s="2" t="str">
        <f ca="1">IF(OR(F81="",H81="Received",H81="Not needed"),"",MAX(0,TODAY()-F81))</f>
        <v/>
      </c>
      <c r="K81" s="2" t="str">
        <f ca="1">IF(H81="","",IF(OR(H81="Received",H81="Not needed"),"Closed",IF(AND(G81&lt;&gt;"",G81&lt;TODAY()),"Chase now","Waiting")))</f>
        <v/>
      </c>
      <c r="L81" s="2"/>
    </row>
    <row r="82" spans="1:12">
      <c r="A82" s="2"/>
      <c r="B82" s="2"/>
      <c r="C82" s="2"/>
      <c r="D82" s="2"/>
      <c r="E82" s="2"/>
      <c r="F82" s="3"/>
      <c r="G82" s="3"/>
      <c r="H82" s="2"/>
      <c r="I82" s="3"/>
      <c r="J82" s="2" t="str">
        <f ca="1">IF(OR(F82="",H82="Received",H82="Not needed"),"",MAX(0,TODAY()-F82))</f>
        <v/>
      </c>
      <c r="K82" s="2" t="str">
        <f ca="1">IF(H82="","",IF(OR(H82="Received",H82="Not needed"),"Closed",IF(AND(G82&lt;&gt;"",G82&lt;TODAY()),"Chase now","Waiting")))</f>
        <v/>
      </c>
      <c r="L82" s="2"/>
    </row>
    <row r="83" spans="1:12">
      <c r="A83" s="2"/>
      <c r="B83" s="2"/>
      <c r="C83" s="2"/>
      <c r="D83" s="2"/>
      <c r="E83" s="2"/>
      <c r="F83" s="3"/>
      <c r="G83" s="3"/>
      <c r="H83" s="2"/>
      <c r="I83" s="3"/>
      <c r="J83" s="2" t="str">
        <f ca="1">IF(OR(F83="",H83="Received",H83="Not needed"),"",MAX(0,TODAY()-F83))</f>
        <v/>
      </c>
      <c r="K83" s="2" t="str">
        <f ca="1">IF(H83="","",IF(OR(H83="Received",H83="Not needed"),"Closed",IF(AND(G83&lt;&gt;"",G83&lt;TODAY()),"Chase now","Waiting")))</f>
        <v/>
      </c>
      <c r="L83" s="2"/>
    </row>
    <row r="84" spans="1:12">
      <c r="A84" s="2"/>
      <c r="B84" s="2"/>
      <c r="C84" s="2"/>
      <c r="D84" s="2"/>
      <c r="E84" s="2"/>
      <c r="F84" s="3"/>
      <c r="G84" s="3"/>
      <c r="H84" s="2"/>
      <c r="I84" s="3"/>
      <c r="J84" s="2" t="str">
        <f ca="1">IF(OR(F84="",H84="Received",H84="Not needed"),"",MAX(0,TODAY()-F84))</f>
        <v/>
      </c>
      <c r="K84" s="2" t="str">
        <f ca="1">IF(H84="","",IF(OR(H84="Received",H84="Not needed"),"Closed",IF(AND(G84&lt;&gt;"",G84&lt;TODAY()),"Chase now","Waiting")))</f>
        <v/>
      </c>
      <c r="L84" s="2"/>
    </row>
    <row r="85" spans="1:12">
      <c r="A85" s="2"/>
      <c r="B85" s="2"/>
      <c r="C85" s="2"/>
      <c r="D85" s="2"/>
      <c r="E85" s="2"/>
      <c r="F85" s="3"/>
      <c r="G85" s="3"/>
      <c r="H85" s="2"/>
      <c r="I85" s="3"/>
      <c r="J85" s="2" t="str">
        <f ca="1">IF(OR(F85="",H85="Received",H85="Not needed"),"",MAX(0,TODAY()-F85))</f>
        <v/>
      </c>
      <c r="K85" s="2" t="str">
        <f ca="1">IF(H85="","",IF(OR(H85="Received",H85="Not needed"),"Closed",IF(AND(G85&lt;&gt;"",G85&lt;TODAY()),"Chase now","Waiting")))</f>
        <v/>
      </c>
      <c r="L85" s="2"/>
    </row>
    <row r="86" spans="1:12">
      <c r="A86" s="2"/>
      <c r="B86" s="2"/>
      <c r="C86" s="2"/>
      <c r="D86" s="2"/>
      <c r="E86" s="2"/>
      <c r="F86" s="3"/>
      <c r="G86" s="3"/>
      <c r="H86" s="2"/>
      <c r="I86" s="3"/>
      <c r="J86" s="2" t="str">
        <f ca="1">IF(OR(F86="",H86="Received",H86="Not needed"),"",MAX(0,TODAY()-F86))</f>
        <v/>
      </c>
      <c r="K86" s="2" t="str">
        <f ca="1">IF(H86="","",IF(OR(H86="Received",H86="Not needed"),"Closed",IF(AND(G86&lt;&gt;"",G86&lt;TODAY()),"Chase now","Waiting")))</f>
        <v/>
      </c>
      <c r="L86" s="2"/>
    </row>
    <row r="87" spans="1:12">
      <c r="A87" s="2"/>
      <c r="B87" s="2"/>
      <c r="C87" s="2"/>
      <c r="D87" s="2"/>
      <c r="E87" s="2"/>
      <c r="F87" s="3"/>
      <c r="G87" s="3"/>
      <c r="H87" s="2"/>
      <c r="I87" s="3"/>
      <c r="J87" s="2" t="str">
        <f ca="1">IF(OR(F87="",H87="Received",H87="Not needed"),"",MAX(0,TODAY()-F87))</f>
        <v/>
      </c>
      <c r="K87" s="2" t="str">
        <f ca="1">IF(H87="","",IF(OR(H87="Received",H87="Not needed"),"Closed",IF(AND(G87&lt;&gt;"",G87&lt;TODAY()),"Chase now","Waiting")))</f>
        <v/>
      </c>
      <c r="L87" s="2"/>
    </row>
    <row r="88" spans="1:12">
      <c r="A88" s="2"/>
      <c r="B88" s="2"/>
      <c r="C88" s="2"/>
      <c r="D88" s="2"/>
      <c r="E88" s="2"/>
      <c r="F88" s="3"/>
      <c r="G88" s="3"/>
      <c r="H88" s="2"/>
      <c r="I88" s="3"/>
      <c r="J88" s="2" t="str">
        <f ca="1">IF(OR(F88="",H88="Received",H88="Not needed"),"",MAX(0,TODAY()-F88))</f>
        <v/>
      </c>
      <c r="K88" s="2" t="str">
        <f ca="1">IF(H88="","",IF(OR(H88="Received",H88="Not needed"),"Closed",IF(AND(G88&lt;&gt;"",G88&lt;TODAY()),"Chase now","Waiting")))</f>
        <v/>
      </c>
      <c r="L88" s="2"/>
    </row>
    <row r="89" spans="1:12">
      <c r="A89" s="2"/>
      <c r="B89" s="2"/>
      <c r="C89" s="2"/>
      <c r="D89" s="2"/>
      <c r="E89" s="2"/>
      <c r="F89" s="3"/>
      <c r="G89" s="3"/>
      <c r="H89" s="2"/>
      <c r="I89" s="3"/>
      <c r="J89" s="2" t="str">
        <f ca="1">IF(OR(F89="",H89="Received",H89="Not needed"),"",MAX(0,TODAY()-F89))</f>
        <v/>
      </c>
      <c r="K89" s="2" t="str">
        <f ca="1">IF(H89="","",IF(OR(H89="Received",H89="Not needed"),"Closed",IF(AND(G89&lt;&gt;"",G89&lt;TODAY()),"Chase now","Waiting")))</f>
        <v/>
      </c>
      <c r="L89" s="2"/>
    </row>
    <row r="90" spans="1:12">
      <c r="A90" s="2"/>
      <c r="B90" s="2"/>
      <c r="C90" s="2"/>
      <c r="D90" s="2"/>
      <c r="E90" s="2"/>
      <c r="F90" s="3"/>
      <c r="G90" s="3"/>
      <c r="H90" s="2"/>
      <c r="I90" s="3"/>
      <c r="J90" s="2" t="str">
        <f ca="1">IF(OR(F90="",H90="Received",H90="Not needed"),"",MAX(0,TODAY()-F90))</f>
        <v/>
      </c>
      <c r="K90" s="2" t="str">
        <f ca="1">IF(H90="","",IF(OR(H90="Received",H90="Not needed"),"Closed",IF(AND(G90&lt;&gt;"",G90&lt;TODAY()),"Chase now","Waiting")))</f>
        <v/>
      </c>
      <c r="L90" s="2"/>
    </row>
    <row r="91" spans="1:12">
      <c r="A91" s="2"/>
      <c r="B91" s="2"/>
      <c r="C91" s="2"/>
      <c r="D91" s="2"/>
      <c r="E91" s="2"/>
      <c r="F91" s="3"/>
      <c r="G91" s="3"/>
      <c r="H91" s="2"/>
      <c r="I91" s="3"/>
      <c r="J91" s="2" t="str">
        <f ca="1">IF(OR(F91="",H91="Received",H91="Not needed"),"",MAX(0,TODAY()-F91))</f>
        <v/>
      </c>
      <c r="K91" s="2" t="str">
        <f ca="1">IF(H91="","",IF(OR(H91="Received",H91="Not needed"),"Closed",IF(AND(G91&lt;&gt;"",G91&lt;TODAY()),"Chase now","Waiting")))</f>
        <v/>
      </c>
      <c r="L91" s="2"/>
    </row>
    <row r="92" spans="1:12">
      <c r="A92" s="2"/>
      <c r="B92" s="2"/>
      <c r="C92" s="2"/>
      <c r="D92" s="2"/>
      <c r="E92" s="2"/>
      <c r="F92" s="3"/>
      <c r="G92" s="3"/>
      <c r="H92" s="2"/>
      <c r="I92" s="3"/>
      <c r="J92" s="2" t="str">
        <f ca="1">IF(OR(F92="",H92="Received",H92="Not needed"),"",MAX(0,TODAY()-F92))</f>
        <v/>
      </c>
      <c r="K92" s="2" t="str">
        <f ca="1">IF(H92="","",IF(OR(H92="Received",H92="Not needed"),"Closed",IF(AND(G92&lt;&gt;"",G92&lt;TODAY()),"Chase now","Waiting")))</f>
        <v/>
      </c>
      <c r="L92" s="2"/>
    </row>
    <row r="93" spans="1:12">
      <c r="A93" s="2"/>
      <c r="B93" s="2"/>
      <c r="C93" s="2"/>
      <c r="D93" s="2"/>
      <c r="E93" s="2"/>
      <c r="F93" s="3"/>
      <c r="G93" s="3"/>
      <c r="H93" s="2"/>
      <c r="I93" s="3"/>
      <c r="J93" s="2" t="str">
        <f ca="1">IF(OR(F93="",H93="Received",H93="Not needed"),"",MAX(0,TODAY()-F93))</f>
        <v/>
      </c>
      <c r="K93" s="2" t="str">
        <f ca="1">IF(H93="","",IF(OR(H93="Received",H93="Not needed"),"Closed",IF(AND(G93&lt;&gt;"",G93&lt;TODAY()),"Chase now","Waiting")))</f>
        <v/>
      </c>
      <c r="L93" s="2"/>
    </row>
    <row r="94" spans="1:12">
      <c r="A94" s="2"/>
      <c r="B94" s="2"/>
      <c r="C94" s="2"/>
      <c r="D94" s="2"/>
      <c r="E94" s="2"/>
      <c r="F94" s="3"/>
      <c r="G94" s="3"/>
      <c r="H94" s="2"/>
      <c r="I94" s="3"/>
      <c r="J94" s="2" t="str">
        <f ca="1">IF(OR(F94="",H94="Received",H94="Not needed"),"",MAX(0,TODAY()-F94))</f>
        <v/>
      </c>
      <c r="K94" s="2" t="str">
        <f ca="1">IF(H94="","",IF(OR(H94="Received",H94="Not needed"),"Closed",IF(AND(G94&lt;&gt;"",G94&lt;TODAY()),"Chase now","Waiting")))</f>
        <v/>
      </c>
      <c r="L94" s="2"/>
    </row>
    <row r="95" spans="1:12">
      <c r="A95" s="2"/>
      <c r="B95" s="2"/>
      <c r="C95" s="2"/>
      <c r="D95" s="2"/>
      <c r="E95" s="2"/>
      <c r="F95" s="3"/>
      <c r="G95" s="3"/>
      <c r="H95" s="2"/>
      <c r="I95" s="3"/>
      <c r="J95" s="2" t="str">
        <f ca="1">IF(OR(F95="",H95="Received",H95="Not needed"),"",MAX(0,TODAY()-F95))</f>
        <v/>
      </c>
      <c r="K95" s="2" t="str">
        <f ca="1">IF(H95="","",IF(OR(H95="Received",H95="Not needed"),"Closed",IF(AND(G95&lt;&gt;"",G95&lt;TODAY()),"Chase now","Waiting")))</f>
        <v/>
      </c>
      <c r="L95" s="2"/>
    </row>
    <row r="96" spans="1:12">
      <c r="A96" s="2"/>
      <c r="B96" s="2"/>
      <c r="C96" s="2"/>
      <c r="D96" s="2"/>
      <c r="E96" s="2"/>
      <c r="F96" s="3"/>
      <c r="G96" s="3"/>
      <c r="H96" s="2"/>
      <c r="I96" s="3"/>
      <c r="J96" s="2" t="str">
        <f ca="1">IF(OR(F96="",H96="Received",H96="Not needed"),"",MAX(0,TODAY()-F96))</f>
        <v/>
      </c>
      <c r="K96" s="2" t="str">
        <f ca="1">IF(H96="","",IF(OR(H96="Received",H96="Not needed"),"Closed",IF(AND(G96&lt;&gt;"",G96&lt;TODAY()),"Chase now","Waiting")))</f>
        <v/>
      </c>
      <c r="L96" s="2"/>
    </row>
    <row r="97" spans="1:12">
      <c r="A97" s="2"/>
      <c r="B97" s="2"/>
      <c r="C97" s="2"/>
      <c r="D97" s="2"/>
      <c r="E97" s="2"/>
      <c r="F97" s="3"/>
      <c r="G97" s="3"/>
      <c r="H97" s="2"/>
      <c r="I97" s="3"/>
      <c r="J97" s="2" t="str">
        <f ca="1">IF(OR(F97="",H97="Received",H97="Not needed"),"",MAX(0,TODAY()-F97))</f>
        <v/>
      </c>
      <c r="K97" s="2" t="str">
        <f ca="1">IF(H97="","",IF(OR(H97="Received",H97="Not needed"),"Closed",IF(AND(G97&lt;&gt;"",G97&lt;TODAY()),"Chase now","Waiting")))</f>
        <v/>
      </c>
      <c r="L97" s="2"/>
    </row>
    <row r="98" spans="1:12">
      <c r="A98" s="2"/>
      <c r="B98" s="2"/>
      <c r="C98" s="2"/>
      <c r="D98" s="2"/>
      <c r="E98" s="2"/>
      <c r="F98" s="3"/>
      <c r="G98" s="3"/>
      <c r="H98" s="2"/>
      <c r="I98" s="3"/>
      <c r="J98" s="2" t="str">
        <f ca="1">IF(OR(F98="",H98="Received",H98="Not needed"),"",MAX(0,TODAY()-F98))</f>
        <v/>
      </c>
      <c r="K98" s="2" t="str">
        <f ca="1">IF(H98="","",IF(OR(H98="Received",H98="Not needed"),"Closed",IF(AND(G98&lt;&gt;"",G98&lt;TODAY()),"Chase now","Waiting")))</f>
        <v/>
      </c>
      <c r="L98" s="2"/>
    </row>
    <row r="99" spans="1:12">
      <c r="A99" s="2"/>
      <c r="B99" s="2"/>
      <c r="C99" s="2"/>
      <c r="D99" s="2"/>
      <c r="E99" s="2"/>
      <c r="F99" s="3"/>
      <c r="G99" s="3"/>
      <c r="H99" s="2"/>
      <c r="I99" s="3"/>
      <c r="J99" s="2" t="str">
        <f ca="1">IF(OR(F99="",H99="Received",H99="Not needed"),"",MAX(0,TODAY()-F99))</f>
        <v/>
      </c>
      <c r="K99" s="2" t="str">
        <f ca="1">IF(H99="","",IF(OR(H99="Received",H99="Not needed"),"Closed",IF(AND(G99&lt;&gt;"",G99&lt;TODAY()),"Chase now","Waiting")))</f>
        <v/>
      </c>
      <c r="L99" s="2"/>
    </row>
    <row r="100" spans="1:12">
      <c r="A100" s="2"/>
      <c r="B100" s="2"/>
      <c r="C100" s="2"/>
      <c r="D100" s="2"/>
      <c r="E100" s="2"/>
      <c r="F100" s="3"/>
      <c r="G100" s="3"/>
      <c r="H100" s="2"/>
      <c r="I100" s="3"/>
      <c r="J100" s="2" t="str">
        <f ca="1">IF(OR(F100="",H100="Received",H100="Not needed"),"",MAX(0,TODAY()-F100))</f>
        <v/>
      </c>
      <c r="K100" s="2" t="str">
        <f ca="1">IF(H100="","",IF(OR(H100="Received",H100="Not needed"),"Closed",IF(AND(G100&lt;&gt;"",G100&lt;TODAY()),"Chase now","Waiting")))</f>
        <v/>
      </c>
      <c r="L100" s="2"/>
    </row>
    <row r="101" spans="1:12">
      <c r="A101" s="2"/>
      <c r="B101" s="2"/>
      <c r="C101" s="2"/>
      <c r="D101" s="2"/>
      <c r="E101" s="2"/>
      <c r="F101" s="3"/>
      <c r="G101" s="3"/>
      <c r="H101" s="2"/>
      <c r="I101" s="3"/>
      <c r="J101" s="2" t="str">
        <f ca="1">IF(OR(F101="",H101="Received",H101="Not needed"),"",MAX(0,TODAY()-F101))</f>
        <v/>
      </c>
      <c r="K101" s="2" t="str">
        <f ca="1">IF(H101="","",IF(OR(H101="Received",H101="Not needed"),"Closed",IF(AND(G101&lt;&gt;"",G101&lt;TODAY()),"Chase now","Waiting")))</f>
        <v/>
      </c>
      <c r="L101" s="2"/>
    </row>
    <row r="102" spans="1:12">
      <c r="A102" s="2"/>
      <c r="B102" s="2"/>
      <c r="C102" s="2"/>
      <c r="D102" s="2"/>
      <c r="E102" s="2"/>
      <c r="F102" s="3"/>
      <c r="G102" s="3"/>
      <c r="H102" s="2"/>
      <c r="I102" s="3"/>
      <c r="J102" s="2" t="str">
        <f ca="1">IF(OR(F102="",H102="Received",H102="Not needed"),"",MAX(0,TODAY()-F102))</f>
        <v/>
      </c>
      <c r="K102" s="2" t="str">
        <f ca="1">IF(H102="","",IF(OR(H102="Received",H102="Not needed"),"Closed",IF(AND(G102&lt;&gt;"",G102&lt;TODAY()),"Chase now","Waiting")))</f>
        <v/>
      </c>
      <c r="L102" s="2"/>
    </row>
    <row r="103" spans="1:12">
      <c r="A103" s="2"/>
      <c r="B103" s="2"/>
      <c r="C103" s="2"/>
      <c r="D103" s="2"/>
      <c r="E103" s="2"/>
      <c r="F103" s="3"/>
      <c r="G103" s="3"/>
      <c r="H103" s="2"/>
      <c r="I103" s="3"/>
      <c r="J103" s="2" t="str">
        <f ca="1">IF(OR(F103="",H103="Received",H103="Not needed"),"",MAX(0,TODAY()-F103))</f>
        <v/>
      </c>
      <c r="K103" s="2" t="str">
        <f ca="1">IF(H103="","",IF(OR(H103="Received",H103="Not needed"),"Closed",IF(AND(G103&lt;&gt;"",G103&lt;TODAY()),"Chase now","Waiting")))</f>
        <v/>
      </c>
      <c r="L103" s="2"/>
    </row>
    <row r="104" spans="1:12">
      <c r="A104" s="2"/>
      <c r="B104" s="2"/>
      <c r="C104" s="2"/>
      <c r="D104" s="2"/>
      <c r="E104" s="2"/>
      <c r="F104" s="3"/>
      <c r="G104" s="3"/>
      <c r="H104" s="2"/>
      <c r="I104" s="3"/>
      <c r="J104" s="2" t="str">
        <f ca="1">IF(OR(F104="",H104="Received",H104="Not needed"),"",MAX(0,TODAY()-F104))</f>
        <v/>
      </c>
      <c r="K104" s="2" t="str">
        <f ca="1">IF(H104="","",IF(OR(H104="Received",H104="Not needed"),"Closed",IF(AND(G104&lt;&gt;"",G104&lt;TODAY()),"Chase now","Waiting")))</f>
        <v/>
      </c>
      <c r="L104" s="2"/>
    </row>
    <row r="105" spans="1:12">
      <c r="A105" s="2"/>
      <c r="B105" s="2"/>
      <c r="C105" s="2"/>
      <c r="D105" s="2"/>
      <c r="E105" s="2"/>
      <c r="F105" s="3"/>
      <c r="G105" s="3"/>
      <c r="H105" s="2"/>
      <c r="I105" s="3"/>
      <c r="J105" s="2" t="str">
        <f ca="1">IF(OR(F105="",H105="Received",H105="Not needed"),"",MAX(0,TODAY()-F105))</f>
        <v/>
      </c>
      <c r="K105" s="2" t="str">
        <f ca="1">IF(H105="","",IF(OR(H105="Received",H105="Not needed"),"Closed",IF(AND(G105&lt;&gt;"",G105&lt;TODAY()),"Chase now","Waiting")))</f>
        <v/>
      </c>
      <c r="L105" s="2"/>
    </row>
    <row r="106" spans="1:12">
      <c r="A106" s="2"/>
      <c r="B106" s="2"/>
      <c r="C106" s="2"/>
      <c r="D106" s="2"/>
      <c r="E106" s="2"/>
      <c r="F106" s="3"/>
      <c r="G106" s="3"/>
      <c r="H106" s="2"/>
      <c r="I106" s="3"/>
      <c r="J106" s="2" t="str">
        <f ca="1">IF(OR(F106="",H106="Received",H106="Not needed"),"",MAX(0,TODAY()-F106))</f>
        <v/>
      </c>
      <c r="K106" s="2" t="str">
        <f ca="1">IF(H106="","",IF(OR(H106="Received",H106="Not needed"),"Closed",IF(AND(G106&lt;&gt;"",G106&lt;TODAY()),"Chase now","Waiting")))</f>
        <v/>
      </c>
      <c r="L106" s="2"/>
    </row>
    <row r="107" spans="1:12">
      <c r="A107" s="2"/>
      <c r="B107" s="2"/>
      <c r="C107" s="2"/>
      <c r="D107" s="2"/>
      <c r="E107" s="2"/>
      <c r="F107" s="3"/>
      <c r="G107" s="3"/>
      <c r="H107" s="2"/>
      <c r="I107" s="3"/>
      <c r="J107" s="2" t="str">
        <f ca="1">IF(OR(F107="",H107="Received",H107="Not needed"),"",MAX(0,TODAY()-F107))</f>
        <v/>
      </c>
      <c r="K107" s="2" t="str">
        <f ca="1">IF(H107="","",IF(OR(H107="Received",H107="Not needed"),"Closed",IF(AND(G107&lt;&gt;"",G107&lt;TODAY()),"Chase now","Waiting")))</f>
        <v/>
      </c>
      <c r="L107" s="2"/>
    </row>
    <row r="108" spans="1:12">
      <c r="A108" s="2"/>
      <c r="B108" s="2"/>
      <c r="C108" s="2"/>
      <c r="D108" s="2"/>
      <c r="E108" s="2"/>
      <c r="F108" s="3"/>
      <c r="G108" s="3"/>
      <c r="H108" s="2"/>
      <c r="I108" s="3"/>
      <c r="J108" s="2" t="str">
        <f ca="1">IF(OR(F108="",H108="Received",H108="Not needed"),"",MAX(0,TODAY()-F108))</f>
        <v/>
      </c>
      <c r="K108" s="2" t="str">
        <f ca="1">IF(H108="","",IF(OR(H108="Received",H108="Not needed"),"Closed",IF(AND(G108&lt;&gt;"",G108&lt;TODAY()),"Chase now","Waiting")))</f>
        <v/>
      </c>
      <c r="L108" s="2"/>
    </row>
    <row r="109" spans="1:12">
      <c r="A109" s="2"/>
      <c r="B109" s="2"/>
      <c r="C109" s="2"/>
      <c r="D109" s="2"/>
      <c r="E109" s="2"/>
      <c r="F109" s="3"/>
      <c r="G109" s="3"/>
      <c r="H109" s="2"/>
      <c r="I109" s="3"/>
      <c r="J109" s="2" t="str">
        <f ca="1">IF(OR(F109="",H109="Received",H109="Not needed"),"",MAX(0,TODAY()-F109))</f>
        <v/>
      </c>
      <c r="K109" s="2" t="str">
        <f ca="1">IF(H109="","",IF(OR(H109="Received",H109="Not needed"),"Closed",IF(AND(G109&lt;&gt;"",G109&lt;TODAY()),"Chase now","Waiting")))</f>
        <v/>
      </c>
      <c r="L109" s="2"/>
    </row>
    <row r="110" spans="1:12">
      <c r="A110" s="2"/>
      <c r="B110" s="2"/>
      <c r="C110" s="2"/>
      <c r="D110" s="2"/>
      <c r="E110" s="2"/>
      <c r="F110" s="3"/>
      <c r="G110" s="3"/>
      <c r="H110" s="2"/>
      <c r="I110" s="3"/>
      <c r="J110" s="2" t="str">
        <f ca="1">IF(OR(F110="",H110="Received",H110="Not needed"),"",MAX(0,TODAY()-F110))</f>
        <v/>
      </c>
      <c r="K110" s="2" t="str">
        <f ca="1">IF(H110="","",IF(OR(H110="Received",H110="Not needed"),"Closed",IF(AND(G110&lt;&gt;"",G110&lt;TODAY()),"Chase now","Waiting")))</f>
        <v/>
      </c>
      <c r="L110" s="2"/>
    </row>
    <row r="111" spans="1:12">
      <c r="A111" s="2"/>
      <c r="B111" s="2"/>
      <c r="C111" s="2"/>
      <c r="D111" s="2"/>
      <c r="E111" s="2"/>
      <c r="F111" s="3"/>
      <c r="G111" s="3"/>
      <c r="H111" s="2"/>
      <c r="I111" s="3"/>
      <c r="J111" s="2" t="str">
        <f ca="1">IF(OR(F111="",H111="Received",H111="Not needed"),"",MAX(0,TODAY()-F111))</f>
        <v/>
      </c>
      <c r="K111" s="2" t="str">
        <f ca="1">IF(H111="","",IF(OR(H111="Received",H111="Not needed"),"Closed",IF(AND(G111&lt;&gt;"",G111&lt;TODAY()),"Chase now","Waiting")))</f>
        <v/>
      </c>
      <c r="L111" s="2"/>
    </row>
    <row r="112" spans="1:12">
      <c r="A112" s="2"/>
      <c r="B112" s="2"/>
      <c r="C112" s="2"/>
      <c r="D112" s="2"/>
      <c r="E112" s="2"/>
      <c r="F112" s="3"/>
      <c r="G112" s="3"/>
      <c r="H112" s="2"/>
      <c r="I112" s="3"/>
      <c r="J112" s="2" t="str">
        <f ca="1">IF(OR(F112="",H112="Received",H112="Not needed"),"",MAX(0,TODAY()-F112))</f>
        <v/>
      </c>
      <c r="K112" s="2" t="str">
        <f ca="1">IF(H112="","",IF(OR(H112="Received",H112="Not needed"),"Closed",IF(AND(G112&lt;&gt;"",G112&lt;TODAY()),"Chase now","Waiting")))</f>
        <v/>
      </c>
      <c r="L112" s="2"/>
    </row>
    <row r="113" spans="1:12">
      <c r="A113" s="2"/>
      <c r="B113" s="2"/>
      <c r="C113" s="2"/>
      <c r="D113" s="2"/>
      <c r="E113" s="2"/>
      <c r="F113" s="3"/>
      <c r="G113" s="3"/>
      <c r="H113" s="2"/>
      <c r="I113" s="3"/>
      <c r="J113" s="2" t="str">
        <f ca="1">IF(OR(F113="",H113="Received",H113="Not needed"),"",MAX(0,TODAY()-F113))</f>
        <v/>
      </c>
      <c r="K113" s="2" t="str">
        <f ca="1">IF(H113="","",IF(OR(H113="Received",H113="Not needed"),"Closed",IF(AND(G113&lt;&gt;"",G113&lt;TODAY()),"Chase now","Waiting")))</f>
        <v/>
      </c>
      <c r="L113" s="2"/>
    </row>
    <row r="114" spans="1:12">
      <c r="A114" s="2"/>
      <c r="B114" s="2"/>
      <c r="C114" s="2"/>
      <c r="D114" s="2"/>
      <c r="E114" s="2"/>
      <c r="F114" s="3"/>
      <c r="G114" s="3"/>
      <c r="H114" s="2"/>
      <c r="I114" s="3"/>
      <c r="J114" s="2" t="str">
        <f ca="1">IF(OR(F114="",H114="Received",H114="Not needed"),"",MAX(0,TODAY()-F114))</f>
        <v/>
      </c>
      <c r="K114" s="2" t="str">
        <f ca="1">IF(H114="","",IF(OR(H114="Received",H114="Not needed"),"Closed",IF(AND(G114&lt;&gt;"",G114&lt;TODAY()),"Chase now","Waiting")))</f>
        <v/>
      </c>
      <c r="L114" s="2"/>
    </row>
    <row r="115" spans="1:12">
      <c r="A115" s="2"/>
      <c r="B115" s="2"/>
      <c r="C115" s="2"/>
      <c r="D115" s="2"/>
      <c r="E115" s="2"/>
      <c r="F115" s="3"/>
      <c r="G115" s="3"/>
      <c r="H115" s="2"/>
      <c r="I115" s="3"/>
      <c r="J115" s="2" t="str">
        <f ca="1">IF(OR(F115="",H115="Received",H115="Not needed"),"",MAX(0,TODAY()-F115))</f>
        <v/>
      </c>
      <c r="K115" s="2" t="str">
        <f ca="1">IF(H115="","",IF(OR(H115="Received",H115="Not needed"),"Closed",IF(AND(G115&lt;&gt;"",G115&lt;TODAY()),"Chase now","Waiting")))</f>
        <v/>
      </c>
      <c r="L115" s="2"/>
    </row>
    <row r="116" spans="1:12">
      <c r="A116" s="2"/>
      <c r="B116" s="2"/>
      <c r="C116" s="2"/>
      <c r="D116" s="2"/>
      <c r="E116" s="2"/>
      <c r="F116" s="3"/>
      <c r="G116" s="3"/>
      <c r="H116" s="2"/>
      <c r="I116" s="3"/>
      <c r="J116" s="2" t="str">
        <f ca="1">IF(OR(F116="",H116="Received",H116="Not needed"),"",MAX(0,TODAY()-F116))</f>
        <v/>
      </c>
      <c r="K116" s="2" t="str">
        <f ca="1">IF(H116="","",IF(OR(H116="Received",H116="Not needed"),"Closed",IF(AND(G116&lt;&gt;"",G116&lt;TODAY()),"Chase now","Waiting")))</f>
        <v/>
      </c>
      <c r="L116" s="2"/>
    </row>
    <row r="117" spans="1:12">
      <c r="A117" s="2"/>
      <c r="B117" s="2"/>
      <c r="C117" s="2"/>
      <c r="D117" s="2"/>
      <c r="E117" s="2"/>
      <c r="F117" s="3"/>
      <c r="G117" s="3"/>
      <c r="H117" s="2"/>
      <c r="I117" s="3"/>
      <c r="J117" s="2" t="str">
        <f ca="1">IF(OR(F117="",H117="Received",H117="Not needed"),"",MAX(0,TODAY()-F117))</f>
        <v/>
      </c>
      <c r="K117" s="2" t="str">
        <f ca="1">IF(H117="","",IF(OR(H117="Received",H117="Not needed"),"Closed",IF(AND(G117&lt;&gt;"",G117&lt;TODAY()),"Chase now","Waiting")))</f>
        <v/>
      </c>
      <c r="L117" s="2"/>
    </row>
    <row r="118" spans="1:12">
      <c r="A118" s="2"/>
      <c r="B118" s="2"/>
      <c r="C118" s="2"/>
      <c r="D118" s="2"/>
      <c r="E118" s="2"/>
      <c r="F118" s="3"/>
      <c r="G118" s="3"/>
      <c r="H118" s="2"/>
      <c r="I118" s="3"/>
      <c r="J118" s="2" t="str">
        <f ca="1">IF(OR(F118="",H118="Received",H118="Not needed"),"",MAX(0,TODAY()-F118))</f>
        <v/>
      </c>
      <c r="K118" s="2" t="str">
        <f ca="1">IF(H118="","",IF(OR(H118="Received",H118="Not needed"),"Closed",IF(AND(G118&lt;&gt;"",G118&lt;TODAY()),"Chase now","Waiting")))</f>
        <v/>
      </c>
      <c r="L118" s="2"/>
    </row>
    <row r="119" spans="1:12">
      <c r="A119" s="2"/>
      <c r="B119" s="2"/>
      <c r="C119" s="2"/>
      <c r="D119" s="2"/>
      <c r="E119" s="2"/>
      <c r="F119" s="3"/>
      <c r="G119" s="3"/>
      <c r="H119" s="2"/>
      <c r="I119" s="3"/>
      <c r="J119" s="2" t="str">
        <f ca="1">IF(OR(F119="",H119="Received",H119="Not needed"),"",MAX(0,TODAY()-F119))</f>
        <v/>
      </c>
      <c r="K119" s="2" t="str">
        <f ca="1">IF(H119="","",IF(OR(H119="Received",H119="Not needed"),"Closed",IF(AND(G119&lt;&gt;"",G119&lt;TODAY()),"Chase now","Waiting")))</f>
        <v/>
      </c>
      <c r="L119" s="2"/>
    </row>
    <row r="120" spans="1:12">
      <c r="A120" s="2"/>
      <c r="B120" s="2"/>
      <c r="C120" s="2"/>
      <c r="D120" s="2"/>
      <c r="E120" s="2"/>
      <c r="F120" s="3"/>
      <c r="G120" s="3"/>
      <c r="H120" s="2"/>
      <c r="I120" s="3"/>
      <c r="J120" s="2" t="str">
        <f ca="1">IF(OR(F120="",H120="Received",H120="Not needed"),"",MAX(0,TODAY()-F120))</f>
        <v/>
      </c>
      <c r="K120" s="2" t="str">
        <f ca="1">IF(H120="","",IF(OR(H120="Received",H120="Not needed"),"Closed",IF(AND(G120&lt;&gt;"",G120&lt;TODAY()),"Chase now","Waiting")))</f>
        <v/>
      </c>
      <c r="L120" s="2"/>
    </row>
    <row r="121" spans="1:12">
      <c r="A121" s="2"/>
      <c r="B121" s="2"/>
      <c r="C121" s="2"/>
      <c r="D121" s="2"/>
      <c r="E121" s="2"/>
      <c r="F121" s="3"/>
      <c r="G121" s="3"/>
      <c r="H121" s="2"/>
      <c r="I121" s="3"/>
      <c r="J121" s="2" t="str">
        <f ca="1">IF(OR(F121="",H121="Received",H121="Not needed"),"",MAX(0,TODAY()-F121))</f>
        <v/>
      </c>
      <c r="K121" s="2" t="str">
        <f ca="1">IF(H121="","",IF(OR(H121="Received",H121="Not needed"),"Closed",IF(AND(G121&lt;&gt;"",G121&lt;TODAY()),"Chase now","Waiting")))</f>
        <v/>
      </c>
      <c r="L121" s="2"/>
    </row>
    <row r="122" spans="1:12">
      <c r="A122" s="2"/>
      <c r="B122" s="2"/>
      <c r="C122" s="2"/>
      <c r="D122" s="2"/>
      <c r="E122" s="2"/>
      <c r="F122" s="3"/>
      <c r="G122" s="3"/>
      <c r="H122" s="2"/>
      <c r="I122" s="3"/>
      <c r="J122" s="2" t="str">
        <f ca="1">IF(OR(F122="",H122="Received",H122="Not needed"),"",MAX(0,TODAY()-F122))</f>
        <v/>
      </c>
      <c r="K122" s="2" t="str">
        <f ca="1">IF(H122="","",IF(OR(H122="Received",H122="Not needed"),"Closed",IF(AND(G122&lt;&gt;"",G122&lt;TODAY()),"Chase now","Waiting")))</f>
        <v/>
      </c>
      <c r="L122" s="2"/>
    </row>
    <row r="123" spans="1:12">
      <c r="A123" s="2"/>
      <c r="B123" s="2"/>
      <c r="C123" s="2"/>
      <c r="D123" s="2"/>
      <c r="E123" s="2"/>
      <c r="F123" s="3"/>
      <c r="G123" s="3"/>
      <c r="H123" s="2"/>
      <c r="I123" s="3"/>
      <c r="J123" s="2" t="str">
        <f ca="1">IF(OR(F123="",H123="Received",H123="Not needed"),"",MAX(0,TODAY()-F123))</f>
        <v/>
      </c>
      <c r="K123" s="2" t="str">
        <f ca="1">IF(H123="","",IF(OR(H123="Received",H123="Not needed"),"Closed",IF(AND(G123&lt;&gt;"",G123&lt;TODAY()),"Chase now","Waiting")))</f>
        <v/>
      </c>
      <c r="L123" s="2"/>
    </row>
    <row r="124" spans="1:12">
      <c r="A124" s="2"/>
      <c r="B124" s="2"/>
      <c r="C124" s="2"/>
      <c r="D124" s="2"/>
      <c r="E124" s="2"/>
      <c r="F124" s="3"/>
      <c r="G124" s="3"/>
      <c r="H124" s="2"/>
      <c r="I124" s="3"/>
      <c r="J124" s="2" t="str">
        <f ca="1">IF(OR(F124="",H124="Received",H124="Not needed"),"",MAX(0,TODAY()-F124))</f>
        <v/>
      </c>
      <c r="K124" s="2" t="str">
        <f ca="1">IF(H124="","",IF(OR(H124="Received",H124="Not needed"),"Closed",IF(AND(G124&lt;&gt;"",G124&lt;TODAY()),"Chase now","Waiting")))</f>
        <v/>
      </c>
      <c r="L124" s="2"/>
    </row>
    <row r="125" spans="1:12">
      <c r="A125" s="2"/>
      <c r="B125" s="2"/>
      <c r="C125" s="2"/>
      <c r="D125" s="2"/>
      <c r="E125" s="2"/>
      <c r="F125" s="3"/>
      <c r="G125" s="3"/>
      <c r="H125" s="2"/>
      <c r="I125" s="3"/>
      <c r="J125" s="2" t="str">
        <f ca="1">IF(OR(F125="",H125="Received",H125="Not needed"),"",MAX(0,TODAY()-F125))</f>
        <v/>
      </c>
      <c r="K125" s="2" t="str">
        <f ca="1">IF(H125="","",IF(OR(H125="Received",H125="Not needed"),"Closed",IF(AND(G125&lt;&gt;"",G125&lt;TODAY()),"Chase now","Waiting")))</f>
        <v/>
      </c>
      <c r="L125" s="2"/>
    </row>
    <row r="126" spans="1:12">
      <c r="A126" s="2"/>
      <c r="B126" s="2"/>
      <c r="C126" s="2"/>
      <c r="D126" s="2"/>
      <c r="E126" s="2"/>
      <c r="F126" s="3"/>
      <c r="G126" s="3"/>
      <c r="H126" s="2"/>
      <c r="I126" s="3"/>
      <c r="J126" s="2" t="str">
        <f ca="1">IF(OR(F126="",H126="Received",H126="Not needed"),"",MAX(0,TODAY()-F126))</f>
        <v/>
      </c>
      <c r="K126" s="2" t="str">
        <f ca="1">IF(H126="","",IF(OR(H126="Received",H126="Not needed"),"Closed",IF(AND(G126&lt;&gt;"",G126&lt;TODAY()),"Chase now","Waiting")))</f>
        <v/>
      </c>
      <c r="L126" s="2"/>
    </row>
    <row r="127" spans="1:12">
      <c r="A127" s="2"/>
      <c r="B127" s="2"/>
      <c r="C127" s="2"/>
      <c r="D127" s="2"/>
      <c r="E127" s="2"/>
      <c r="F127" s="3"/>
      <c r="G127" s="3"/>
      <c r="H127" s="2"/>
      <c r="I127" s="3"/>
      <c r="J127" s="2" t="str">
        <f ca="1">IF(OR(F127="",H127="Received",H127="Not needed"),"",MAX(0,TODAY()-F127))</f>
        <v/>
      </c>
      <c r="K127" s="2" t="str">
        <f ca="1">IF(H127="","",IF(OR(H127="Received",H127="Not needed"),"Closed",IF(AND(G127&lt;&gt;"",G127&lt;TODAY()),"Chase now","Waiting")))</f>
        <v/>
      </c>
      <c r="L127" s="2"/>
    </row>
    <row r="128" spans="1:12">
      <c r="A128" s="2"/>
      <c r="B128" s="2"/>
      <c r="C128" s="2"/>
      <c r="D128" s="2"/>
      <c r="E128" s="2"/>
      <c r="F128" s="3"/>
      <c r="G128" s="3"/>
      <c r="H128" s="2"/>
      <c r="I128" s="3"/>
      <c r="J128" s="2" t="str">
        <f ca="1">IF(OR(F128="",H128="Received",H128="Not needed"),"",MAX(0,TODAY()-F128))</f>
        <v/>
      </c>
      <c r="K128" s="2" t="str">
        <f ca="1">IF(H128="","",IF(OR(H128="Received",H128="Not needed"),"Closed",IF(AND(G128&lt;&gt;"",G128&lt;TODAY()),"Chase now","Waiting")))</f>
        <v/>
      </c>
      <c r="L128" s="2"/>
    </row>
    <row r="129" spans="1:12">
      <c r="A129" s="2"/>
      <c r="B129" s="2"/>
      <c r="C129" s="2"/>
      <c r="D129" s="2"/>
      <c r="E129" s="2"/>
      <c r="F129" s="3"/>
      <c r="G129" s="3"/>
      <c r="H129" s="2"/>
      <c r="I129" s="3"/>
      <c r="J129" s="2" t="str">
        <f ca="1">IF(OR(F129="",H129="Received",H129="Not needed"),"",MAX(0,TODAY()-F129))</f>
        <v/>
      </c>
      <c r="K129" s="2" t="str">
        <f ca="1">IF(H129="","",IF(OR(H129="Received",H129="Not needed"),"Closed",IF(AND(G129&lt;&gt;"",G129&lt;TODAY()),"Chase now","Waiting")))</f>
        <v/>
      </c>
      <c r="L129" s="2"/>
    </row>
    <row r="130" spans="1:12">
      <c r="A130" s="2"/>
      <c r="B130" s="2"/>
      <c r="C130" s="2"/>
      <c r="D130" s="2"/>
      <c r="E130" s="2"/>
      <c r="F130" s="3"/>
      <c r="G130" s="3"/>
      <c r="H130" s="2"/>
      <c r="I130" s="3"/>
      <c r="J130" s="2" t="str">
        <f ca="1">IF(OR(F130="",H130="Received",H130="Not needed"),"",MAX(0,TODAY()-F130))</f>
        <v/>
      </c>
      <c r="K130" s="2" t="str">
        <f ca="1">IF(H130="","",IF(OR(H130="Received",H130="Not needed"),"Closed",IF(AND(G130&lt;&gt;"",G130&lt;TODAY()),"Chase now","Waiting")))</f>
        <v/>
      </c>
      <c r="L130" s="2"/>
    </row>
    <row r="131" spans="1:12">
      <c r="A131" s="2"/>
      <c r="B131" s="2"/>
      <c r="C131" s="2"/>
      <c r="D131" s="2"/>
      <c r="E131" s="2"/>
      <c r="F131" s="3"/>
      <c r="G131" s="3"/>
      <c r="H131" s="2"/>
      <c r="I131" s="3"/>
      <c r="J131" s="2" t="str">
        <f ca="1">IF(OR(F131="",H131="Received",H131="Not needed"),"",MAX(0,TODAY()-F131))</f>
        <v/>
      </c>
      <c r="K131" s="2" t="str">
        <f ca="1">IF(H131="","",IF(OR(H131="Received",H131="Not needed"),"Closed",IF(AND(G131&lt;&gt;"",G131&lt;TODAY()),"Chase now","Waiting")))</f>
        <v/>
      </c>
      <c r="L131" s="2"/>
    </row>
    <row r="132" spans="1:12">
      <c r="A132" s="2"/>
      <c r="B132" s="2"/>
      <c r="C132" s="2"/>
      <c r="D132" s="2"/>
      <c r="E132" s="2"/>
      <c r="F132" s="3"/>
      <c r="G132" s="3"/>
      <c r="H132" s="2"/>
      <c r="I132" s="3"/>
      <c r="J132" s="2" t="str">
        <f ca="1">IF(OR(F132="",H132="Received",H132="Not needed"),"",MAX(0,TODAY()-F132))</f>
        <v/>
      </c>
      <c r="K132" s="2" t="str">
        <f ca="1">IF(H132="","",IF(OR(H132="Received",H132="Not needed"),"Closed",IF(AND(G132&lt;&gt;"",G132&lt;TODAY()),"Chase now","Waiting")))</f>
        <v/>
      </c>
      <c r="L132" s="2"/>
    </row>
    <row r="133" spans="1:12">
      <c r="A133" s="2"/>
      <c r="B133" s="2"/>
      <c r="C133" s="2"/>
      <c r="D133" s="2"/>
      <c r="E133" s="2"/>
      <c r="F133" s="3"/>
      <c r="G133" s="3"/>
      <c r="H133" s="2"/>
      <c r="I133" s="3"/>
      <c r="J133" s="2" t="str">
        <f ca="1">IF(OR(F133="",H133="Received",H133="Not needed"),"",MAX(0,TODAY()-F133))</f>
        <v/>
      </c>
      <c r="K133" s="2" t="str">
        <f ca="1">IF(H133="","",IF(OR(H133="Received",H133="Not needed"),"Closed",IF(AND(G133&lt;&gt;"",G133&lt;TODAY()),"Chase now","Waiting")))</f>
        <v/>
      </c>
      <c r="L133" s="2"/>
    </row>
    <row r="134" spans="1:12">
      <c r="A134" s="2"/>
      <c r="B134" s="2"/>
      <c r="C134" s="2"/>
      <c r="D134" s="2"/>
      <c r="E134" s="2"/>
      <c r="F134" s="3"/>
      <c r="G134" s="3"/>
      <c r="H134" s="2"/>
      <c r="I134" s="3"/>
      <c r="J134" s="2" t="str">
        <f ca="1">IF(OR(F134="",H134="Received",H134="Not needed"),"",MAX(0,TODAY()-F134))</f>
        <v/>
      </c>
      <c r="K134" s="2" t="str">
        <f ca="1">IF(H134="","",IF(OR(H134="Received",H134="Not needed"),"Closed",IF(AND(G134&lt;&gt;"",G134&lt;TODAY()),"Chase now","Waiting")))</f>
        <v/>
      </c>
      <c r="L134" s="2"/>
    </row>
    <row r="135" spans="1:12">
      <c r="A135" s="2"/>
      <c r="B135" s="2"/>
      <c r="C135" s="2"/>
      <c r="D135" s="2"/>
      <c r="E135" s="2"/>
      <c r="F135" s="3"/>
      <c r="G135" s="3"/>
      <c r="H135" s="2"/>
      <c r="I135" s="3"/>
      <c r="J135" s="2" t="str">
        <f ca="1">IF(OR(F135="",H135="Received",H135="Not needed"),"",MAX(0,TODAY()-F135))</f>
        <v/>
      </c>
      <c r="K135" s="2" t="str">
        <f ca="1">IF(H135="","",IF(OR(H135="Received",H135="Not needed"),"Closed",IF(AND(G135&lt;&gt;"",G135&lt;TODAY()),"Chase now","Waiting")))</f>
        <v/>
      </c>
      <c r="L135" s="2"/>
    </row>
    <row r="136" spans="1:12">
      <c r="A136" s="2"/>
      <c r="B136" s="2"/>
      <c r="C136" s="2"/>
      <c r="D136" s="2"/>
      <c r="E136" s="2"/>
      <c r="F136" s="3"/>
      <c r="G136" s="3"/>
      <c r="H136" s="2"/>
      <c r="I136" s="3"/>
      <c r="J136" s="2" t="str">
        <f ca="1">IF(OR(F136="",H136="Received",H136="Not needed"),"",MAX(0,TODAY()-F136))</f>
        <v/>
      </c>
      <c r="K136" s="2" t="str">
        <f ca="1">IF(H136="","",IF(OR(H136="Received",H136="Not needed"),"Closed",IF(AND(G136&lt;&gt;"",G136&lt;TODAY()),"Chase now","Waiting")))</f>
        <v/>
      </c>
      <c r="L136" s="2"/>
    </row>
    <row r="137" spans="1:12">
      <c r="A137" s="2"/>
      <c r="B137" s="2"/>
      <c r="C137" s="2"/>
      <c r="D137" s="2"/>
      <c r="E137" s="2"/>
      <c r="F137" s="3"/>
      <c r="G137" s="3"/>
      <c r="H137" s="2"/>
      <c r="I137" s="3"/>
      <c r="J137" s="2" t="str">
        <f ca="1">IF(OR(F137="",H137="Received",H137="Not needed"),"",MAX(0,TODAY()-F137))</f>
        <v/>
      </c>
      <c r="K137" s="2" t="str">
        <f ca="1">IF(H137="","",IF(OR(H137="Received",H137="Not needed"),"Closed",IF(AND(G137&lt;&gt;"",G137&lt;TODAY()),"Chase now","Waiting")))</f>
        <v/>
      </c>
      <c r="L137" s="2"/>
    </row>
    <row r="138" spans="1:12">
      <c r="A138" s="2"/>
      <c r="B138" s="2"/>
      <c r="C138" s="2"/>
      <c r="D138" s="2"/>
      <c r="E138" s="2"/>
      <c r="F138" s="3"/>
      <c r="G138" s="3"/>
      <c r="H138" s="2"/>
      <c r="I138" s="3"/>
      <c r="J138" s="2" t="str">
        <f ca="1">IF(OR(F138="",H138="Received",H138="Not needed"),"",MAX(0,TODAY()-F138))</f>
        <v/>
      </c>
      <c r="K138" s="2" t="str">
        <f ca="1">IF(H138="","",IF(OR(H138="Received",H138="Not needed"),"Closed",IF(AND(G138&lt;&gt;"",G138&lt;TODAY()),"Chase now","Waiting")))</f>
        <v/>
      </c>
      <c r="L138" s="2"/>
    </row>
    <row r="139" spans="1:12">
      <c r="A139" s="2"/>
      <c r="B139" s="2"/>
      <c r="C139" s="2"/>
      <c r="D139" s="2"/>
      <c r="E139" s="2"/>
      <c r="F139" s="3"/>
      <c r="G139" s="3"/>
      <c r="H139" s="2"/>
      <c r="I139" s="3"/>
      <c r="J139" s="2" t="str">
        <f ca="1">IF(OR(F139="",H139="Received",H139="Not needed"),"",MAX(0,TODAY()-F139))</f>
        <v/>
      </c>
      <c r="K139" s="2" t="str">
        <f ca="1">IF(H139="","",IF(OR(H139="Received",H139="Not needed"),"Closed",IF(AND(G139&lt;&gt;"",G139&lt;TODAY()),"Chase now","Waiting")))</f>
        <v/>
      </c>
      <c r="L139" s="2"/>
    </row>
    <row r="140" spans="1:12">
      <c r="A140" s="2"/>
      <c r="B140" s="2"/>
      <c r="C140" s="2"/>
      <c r="D140" s="2"/>
      <c r="E140" s="2"/>
      <c r="F140" s="3"/>
      <c r="G140" s="3"/>
      <c r="H140" s="2"/>
      <c r="I140" s="3"/>
      <c r="J140" s="2" t="str">
        <f ca="1">IF(OR(F140="",H140="Received",H140="Not needed"),"",MAX(0,TODAY()-F140))</f>
        <v/>
      </c>
      <c r="K140" s="2" t="str">
        <f ca="1">IF(H140="","",IF(OR(H140="Received",H140="Not needed"),"Closed",IF(AND(G140&lt;&gt;"",G140&lt;TODAY()),"Chase now","Waiting")))</f>
        <v/>
      </c>
      <c r="L140" s="2"/>
    </row>
    <row r="141" spans="1:12">
      <c r="A141" s="2"/>
      <c r="B141" s="2"/>
      <c r="C141" s="2"/>
      <c r="D141" s="2"/>
      <c r="E141" s="2"/>
      <c r="F141" s="3"/>
      <c r="G141" s="3"/>
      <c r="H141" s="2"/>
      <c r="I141" s="3"/>
      <c r="J141" s="2" t="str">
        <f ca="1">IF(OR(F141="",H141="Received",H141="Not needed"),"",MAX(0,TODAY()-F141))</f>
        <v/>
      </c>
      <c r="K141" s="2" t="str">
        <f ca="1">IF(H141="","",IF(OR(H141="Received",H141="Not needed"),"Closed",IF(AND(G141&lt;&gt;"",G141&lt;TODAY()),"Chase now","Waiting")))</f>
        <v/>
      </c>
      <c r="L141" s="2"/>
    </row>
    <row r="142" spans="1:12">
      <c r="A142" s="2"/>
      <c r="B142" s="2"/>
      <c r="C142" s="2"/>
      <c r="D142" s="2"/>
      <c r="E142" s="2"/>
      <c r="F142" s="3"/>
      <c r="G142" s="3"/>
      <c r="H142" s="2"/>
      <c r="I142" s="3"/>
      <c r="J142" s="2" t="str">
        <f ca="1">IF(OR(F142="",H142="Received",H142="Not needed"),"",MAX(0,TODAY()-F142))</f>
        <v/>
      </c>
      <c r="K142" s="2" t="str">
        <f ca="1">IF(H142="","",IF(OR(H142="Received",H142="Not needed"),"Closed",IF(AND(G142&lt;&gt;"",G142&lt;TODAY()),"Chase now","Waiting")))</f>
        <v/>
      </c>
      <c r="L142" s="2"/>
    </row>
    <row r="143" spans="1:12">
      <c r="A143" s="2"/>
      <c r="B143" s="2"/>
      <c r="C143" s="2"/>
      <c r="D143" s="2"/>
      <c r="E143" s="2"/>
      <c r="F143" s="3"/>
      <c r="G143" s="3"/>
      <c r="H143" s="2"/>
      <c r="I143" s="3"/>
      <c r="J143" s="2" t="str">
        <f ca="1">IF(OR(F143="",H143="Received",H143="Not needed"),"",MAX(0,TODAY()-F143))</f>
        <v/>
      </c>
      <c r="K143" s="2" t="str">
        <f ca="1">IF(H143="","",IF(OR(H143="Received",H143="Not needed"),"Closed",IF(AND(G143&lt;&gt;"",G143&lt;TODAY()),"Chase now","Waiting")))</f>
        <v/>
      </c>
      <c r="L143" s="2"/>
    </row>
    <row r="144" spans="1:12">
      <c r="A144" s="2"/>
      <c r="B144" s="2"/>
      <c r="C144" s="2"/>
      <c r="D144" s="2"/>
      <c r="E144" s="2"/>
      <c r="F144" s="3"/>
      <c r="G144" s="3"/>
      <c r="H144" s="2"/>
      <c r="I144" s="3"/>
      <c r="J144" s="2" t="str">
        <f ca="1">IF(OR(F144="",H144="Received",H144="Not needed"),"",MAX(0,TODAY()-F144))</f>
        <v/>
      </c>
      <c r="K144" s="2" t="str">
        <f ca="1">IF(H144="","",IF(OR(H144="Received",H144="Not needed"),"Closed",IF(AND(G144&lt;&gt;"",G144&lt;TODAY()),"Chase now","Waiting")))</f>
        <v/>
      </c>
      <c r="L144" s="2"/>
    </row>
    <row r="145" spans="1:12">
      <c r="A145" s="2"/>
      <c r="B145" s="2"/>
      <c r="C145" s="2"/>
      <c r="D145" s="2"/>
      <c r="E145" s="2"/>
      <c r="F145" s="3"/>
      <c r="G145" s="3"/>
      <c r="H145" s="2"/>
      <c r="I145" s="3"/>
      <c r="J145" s="2" t="str">
        <f ca="1">IF(OR(F145="",H145="Received",H145="Not needed"),"",MAX(0,TODAY()-F145))</f>
        <v/>
      </c>
      <c r="K145" s="2" t="str">
        <f ca="1">IF(H145="","",IF(OR(H145="Received",H145="Not needed"),"Closed",IF(AND(G145&lt;&gt;"",G145&lt;TODAY()),"Chase now","Waiting")))</f>
        <v/>
      </c>
      <c r="L145" s="2"/>
    </row>
    <row r="146" spans="1:12">
      <c r="A146" s="2"/>
      <c r="B146" s="2"/>
      <c r="C146" s="2"/>
      <c r="D146" s="2"/>
      <c r="E146" s="2"/>
      <c r="F146" s="3"/>
      <c r="G146" s="3"/>
      <c r="H146" s="2"/>
      <c r="I146" s="3"/>
      <c r="J146" s="2" t="str">
        <f ca="1">IF(OR(F146="",H146="Received",H146="Not needed"),"",MAX(0,TODAY()-F146))</f>
        <v/>
      </c>
      <c r="K146" s="2" t="str">
        <f ca="1">IF(H146="","",IF(OR(H146="Received",H146="Not needed"),"Closed",IF(AND(G146&lt;&gt;"",G146&lt;TODAY()),"Chase now","Waiting")))</f>
        <v/>
      </c>
      <c r="L146" s="2"/>
    </row>
    <row r="147" spans="1:12">
      <c r="A147" s="2"/>
      <c r="B147" s="2"/>
      <c r="C147" s="2"/>
      <c r="D147" s="2"/>
      <c r="E147" s="2"/>
      <c r="F147" s="3"/>
      <c r="G147" s="3"/>
      <c r="H147" s="2"/>
      <c r="I147" s="3"/>
      <c r="J147" s="2" t="str">
        <f ca="1">IF(OR(F147="",H147="Received",H147="Not needed"),"",MAX(0,TODAY()-F147))</f>
        <v/>
      </c>
      <c r="K147" s="2" t="str">
        <f ca="1">IF(H147="","",IF(OR(H147="Received",H147="Not needed"),"Closed",IF(AND(G147&lt;&gt;"",G147&lt;TODAY()),"Chase now","Waiting")))</f>
        <v/>
      </c>
      <c r="L147" s="2"/>
    </row>
    <row r="148" spans="1:12">
      <c r="A148" s="2"/>
      <c r="B148" s="2"/>
      <c r="C148" s="2"/>
      <c r="D148" s="2"/>
      <c r="E148" s="2"/>
      <c r="F148" s="3"/>
      <c r="G148" s="3"/>
      <c r="H148" s="2"/>
      <c r="I148" s="3"/>
      <c r="J148" s="2" t="str">
        <f ca="1">IF(OR(F148="",H148="Received",H148="Not needed"),"",MAX(0,TODAY()-F148))</f>
        <v/>
      </c>
      <c r="K148" s="2" t="str">
        <f ca="1">IF(H148="","",IF(OR(H148="Received",H148="Not needed"),"Closed",IF(AND(G148&lt;&gt;"",G148&lt;TODAY()),"Chase now","Waiting")))</f>
        <v/>
      </c>
      <c r="L148" s="2"/>
    </row>
    <row r="149" spans="1:12">
      <c r="A149" s="2"/>
      <c r="B149" s="2"/>
      <c r="C149" s="2"/>
      <c r="D149" s="2"/>
      <c r="E149" s="2"/>
      <c r="F149" s="3"/>
      <c r="G149" s="3"/>
      <c r="H149" s="2"/>
      <c r="I149" s="3"/>
      <c r="J149" s="2" t="str">
        <f ca="1">IF(OR(F149="",H149="Received",H149="Not needed"),"",MAX(0,TODAY()-F149))</f>
        <v/>
      </c>
      <c r="K149" s="2" t="str">
        <f ca="1">IF(H149="","",IF(OR(H149="Received",H149="Not needed"),"Closed",IF(AND(G149&lt;&gt;"",G149&lt;TODAY()),"Chase now","Waiting")))</f>
        <v/>
      </c>
      <c r="L149" s="2"/>
    </row>
    <row r="150" spans="1:12">
      <c r="A150" s="2"/>
      <c r="B150" s="2"/>
      <c r="C150" s="2"/>
      <c r="D150" s="2"/>
      <c r="E150" s="2"/>
      <c r="F150" s="3"/>
      <c r="G150" s="3"/>
      <c r="H150" s="2"/>
      <c r="I150" s="3"/>
      <c r="J150" s="2" t="str">
        <f ca="1">IF(OR(F150="",H150="Received",H150="Not needed"),"",MAX(0,TODAY()-F150))</f>
        <v/>
      </c>
      <c r="K150" s="2" t="str">
        <f ca="1">IF(H150="","",IF(OR(H150="Received",H150="Not needed"),"Closed",IF(AND(G150&lt;&gt;"",G150&lt;TODAY()),"Chase now","Waiting")))</f>
        <v/>
      </c>
      <c r="L150" s="2"/>
    </row>
    <row r="151" spans="1:12">
      <c r="A151" s="2"/>
      <c r="B151" s="2"/>
      <c r="C151" s="2"/>
      <c r="D151" s="2"/>
      <c r="E151" s="2"/>
      <c r="F151" s="3"/>
      <c r="G151" s="3"/>
      <c r="H151" s="2"/>
      <c r="I151" s="3"/>
      <c r="J151" s="2" t="str">
        <f ca="1">IF(OR(F151="",H151="Received",H151="Not needed"),"",MAX(0,TODAY()-F151))</f>
        <v/>
      </c>
      <c r="K151" s="2" t="str">
        <f ca="1">IF(H151="","",IF(OR(H151="Received",H151="Not needed"),"Closed",IF(AND(G151&lt;&gt;"",G151&lt;TODAY()),"Chase now","Waiting")))</f>
        <v/>
      </c>
      <c r="L151" s="2"/>
    </row>
    <row r="152" spans="1:12">
      <c r="A152" s="2"/>
      <c r="B152" s="2"/>
      <c r="C152" s="2"/>
      <c r="D152" s="2"/>
      <c r="E152" s="2"/>
      <c r="F152" s="3"/>
      <c r="G152" s="3"/>
      <c r="H152" s="2"/>
      <c r="I152" s="3"/>
      <c r="J152" s="2" t="str">
        <f ca="1">IF(OR(F152="",H152="Received",H152="Not needed"),"",MAX(0,TODAY()-F152))</f>
        <v/>
      </c>
      <c r="K152" s="2" t="str">
        <f ca="1">IF(H152="","",IF(OR(H152="Received",H152="Not needed"),"Closed",IF(AND(G152&lt;&gt;"",G152&lt;TODAY()),"Chase now","Waiting")))</f>
        <v/>
      </c>
      <c r="L152" s="2"/>
    </row>
    <row r="153" spans="1:12">
      <c r="A153" s="2"/>
      <c r="B153" s="2"/>
      <c r="C153" s="2"/>
      <c r="D153" s="2"/>
      <c r="E153" s="2"/>
      <c r="F153" s="3"/>
      <c r="G153" s="3"/>
      <c r="H153" s="2"/>
      <c r="I153" s="3"/>
      <c r="J153" s="2" t="str">
        <f ca="1">IF(OR(F153="",H153="Received",H153="Not needed"),"",MAX(0,TODAY()-F153))</f>
        <v/>
      </c>
      <c r="K153" s="2" t="str">
        <f ca="1">IF(H153="","",IF(OR(H153="Received",H153="Not needed"),"Closed",IF(AND(G153&lt;&gt;"",G153&lt;TODAY()),"Chase now","Waiting")))</f>
        <v/>
      </c>
      <c r="L153" s="2"/>
    </row>
    <row r="154" spans="1:12">
      <c r="A154" s="2"/>
      <c r="B154" s="2"/>
      <c r="C154" s="2"/>
      <c r="D154" s="2"/>
      <c r="E154" s="2"/>
      <c r="F154" s="3"/>
      <c r="G154" s="3"/>
      <c r="H154" s="2"/>
      <c r="I154" s="3"/>
      <c r="J154" s="2" t="str">
        <f ca="1">IF(OR(F154="",H154="Received",H154="Not needed"),"",MAX(0,TODAY()-F154))</f>
        <v/>
      </c>
      <c r="K154" s="2" t="str">
        <f ca="1">IF(H154="","",IF(OR(H154="Received",H154="Not needed"),"Closed",IF(AND(G154&lt;&gt;"",G154&lt;TODAY()),"Chase now","Waiting")))</f>
        <v/>
      </c>
      <c r="L154" s="2"/>
    </row>
    <row r="155" spans="1:12">
      <c r="A155" s="2"/>
      <c r="B155" s="2"/>
      <c r="C155" s="2"/>
      <c r="D155" s="2"/>
      <c r="E155" s="2"/>
      <c r="F155" s="3"/>
      <c r="G155" s="3"/>
      <c r="H155" s="2"/>
      <c r="I155" s="3"/>
      <c r="J155" s="2" t="str">
        <f ca="1">IF(OR(F155="",H155="Received",H155="Not needed"),"",MAX(0,TODAY()-F155))</f>
        <v/>
      </c>
      <c r="K155" s="2" t="str">
        <f ca="1">IF(H155="","",IF(OR(H155="Received",H155="Not needed"),"Closed",IF(AND(G155&lt;&gt;"",G155&lt;TODAY()),"Chase now","Waiting")))</f>
        <v/>
      </c>
      <c r="L155" s="2"/>
    </row>
    <row r="156" spans="1:12">
      <c r="A156" s="2"/>
      <c r="B156" s="2"/>
      <c r="C156" s="2"/>
      <c r="D156" s="2"/>
      <c r="E156" s="2"/>
      <c r="F156" s="3"/>
      <c r="G156" s="3"/>
      <c r="H156" s="2"/>
      <c r="I156" s="3"/>
      <c r="J156" s="2" t="str">
        <f ca="1">IF(OR(F156="",H156="Received",H156="Not needed"),"",MAX(0,TODAY()-F156))</f>
        <v/>
      </c>
      <c r="K156" s="2" t="str">
        <f ca="1">IF(H156="","",IF(OR(H156="Received",H156="Not needed"),"Closed",IF(AND(G156&lt;&gt;"",G156&lt;TODAY()),"Chase now","Waiting")))</f>
        <v/>
      </c>
      <c r="L156" s="2"/>
    </row>
    <row r="157" spans="1:12">
      <c r="A157" s="2"/>
      <c r="B157" s="2"/>
      <c r="C157" s="2"/>
      <c r="D157" s="2"/>
      <c r="E157" s="2"/>
      <c r="F157" s="3"/>
      <c r="G157" s="3"/>
      <c r="H157" s="2"/>
      <c r="I157" s="3"/>
      <c r="J157" s="2" t="str">
        <f ca="1">IF(OR(F157="",H157="Received",H157="Not needed"),"",MAX(0,TODAY()-F157))</f>
        <v/>
      </c>
      <c r="K157" s="2" t="str">
        <f ca="1">IF(H157="","",IF(OR(H157="Received",H157="Not needed"),"Closed",IF(AND(G157&lt;&gt;"",G157&lt;TODAY()),"Chase now","Waiting")))</f>
        <v/>
      </c>
      <c r="L157" s="2"/>
    </row>
    <row r="158" spans="1:12">
      <c r="A158" s="2"/>
      <c r="B158" s="2"/>
      <c r="C158" s="2"/>
      <c r="D158" s="2"/>
      <c r="E158" s="2"/>
      <c r="F158" s="3"/>
      <c r="G158" s="3"/>
      <c r="H158" s="2"/>
      <c r="I158" s="3"/>
      <c r="J158" s="2" t="str">
        <f ca="1">IF(OR(F158="",H158="Received",H158="Not needed"),"",MAX(0,TODAY()-F158))</f>
        <v/>
      </c>
      <c r="K158" s="2" t="str">
        <f ca="1">IF(H158="","",IF(OR(H158="Received",H158="Not needed"),"Closed",IF(AND(G158&lt;&gt;"",G158&lt;TODAY()),"Chase now","Waiting")))</f>
        <v/>
      </c>
      <c r="L158" s="2"/>
    </row>
    <row r="159" spans="1:12">
      <c r="A159" s="2"/>
      <c r="B159" s="2"/>
      <c r="C159" s="2"/>
      <c r="D159" s="2"/>
      <c r="E159" s="2"/>
      <c r="F159" s="3"/>
      <c r="G159" s="3"/>
      <c r="H159" s="2"/>
      <c r="I159" s="3"/>
      <c r="J159" s="2" t="str">
        <f ca="1">IF(OR(F159="",H159="Received",H159="Not needed"),"",MAX(0,TODAY()-F159))</f>
        <v/>
      </c>
      <c r="K159" s="2" t="str">
        <f ca="1">IF(H159="","",IF(OR(H159="Received",H159="Not needed"),"Closed",IF(AND(G159&lt;&gt;"",G159&lt;TODAY()),"Chase now","Waiting")))</f>
        <v/>
      </c>
      <c r="L159" s="2"/>
    </row>
    <row r="160" spans="1:12">
      <c r="A160" s="2"/>
      <c r="B160" s="2"/>
      <c r="C160" s="2"/>
      <c r="D160" s="2"/>
      <c r="E160" s="2"/>
      <c r="F160" s="3"/>
      <c r="G160" s="3"/>
      <c r="H160" s="2"/>
      <c r="I160" s="3"/>
      <c r="J160" s="2" t="str">
        <f ca="1">IF(OR(F160="",H160="Received",H160="Not needed"),"",MAX(0,TODAY()-F160))</f>
        <v/>
      </c>
      <c r="K160" s="2" t="str">
        <f ca="1">IF(H160="","",IF(OR(H160="Received",H160="Not needed"),"Closed",IF(AND(G160&lt;&gt;"",G160&lt;TODAY()),"Chase now","Waiting")))</f>
        <v/>
      </c>
      <c r="L160" s="2"/>
    </row>
    <row r="161" spans="1:12">
      <c r="A161" s="2"/>
      <c r="B161" s="2"/>
      <c r="C161" s="2"/>
      <c r="D161" s="2"/>
      <c r="E161" s="2"/>
      <c r="F161" s="3"/>
      <c r="G161" s="3"/>
      <c r="H161" s="2"/>
      <c r="I161" s="3"/>
      <c r="J161" s="2" t="str">
        <f ca="1">IF(OR(F161="",H161="Received",H161="Not needed"),"",MAX(0,TODAY()-F161))</f>
        <v/>
      </c>
      <c r="K161" s="2" t="str">
        <f ca="1">IF(H161="","",IF(OR(H161="Received",H161="Not needed"),"Closed",IF(AND(G161&lt;&gt;"",G161&lt;TODAY()),"Chase now","Waiting")))</f>
        <v/>
      </c>
      <c r="L161" s="2"/>
    </row>
    <row r="162" spans="1:12">
      <c r="A162" s="2"/>
      <c r="B162" s="2"/>
      <c r="C162" s="2"/>
      <c r="D162" s="2"/>
      <c r="E162" s="2"/>
      <c r="F162" s="3"/>
      <c r="G162" s="3"/>
      <c r="H162" s="2"/>
      <c r="I162" s="3"/>
      <c r="J162" s="2" t="str">
        <f ca="1">IF(OR(F162="",H162="Received",H162="Not needed"),"",MAX(0,TODAY()-F162))</f>
        <v/>
      </c>
      <c r="K162" s="2" t="str">
        <f ca="1">IF(H162="","",IF(OR(H162="Received",H162="Not needed"),"Closed",IF(AND(G162&lt;&gt;"",G162&lt;TODAY()),"Chase now","Waiting")))</f>
        <v/>
      </c>
      <c r="L162" s="2"/>
    </row>
    <row r="163" spans="1:12">
      <c r="A163" s="2"/>
      <c r="B163" s="2"/>
      <c r="C163" s="2"/>
      <c r="D163" s="2"/>
      <c r="E163" s="2"/>
      <c r="F163" s="3"/>
      <c r="G163" s="3"/>
      <c r="H163" s="2"/>
      <c r="I163" s="3"/>
      <c r="J163" s="2" t="str">
        <f ca="1">IF(OR(F163="",H163="Received",H163="Not needed"),"",MAX(0,TODAY()-F163))</f>
        <v/>
      </c>
      <c r="K163" s="2" t="str">
        <f ca="1">IF(H163="","",IF(OR(H163="Received",H163="Not needed"),"Closed",IF(AND(G163&lt;&gt;"",G163&lt;TODAY()),"Chase now","Waiting")))</f>
        <v/>
      </c>
      <c r="L163" s="2"/>
    </row>
    <row r="164" spans="1:12">
      <c r="A164" s="2"/>
      <c r="B164" s="2"/>
      <c r="C164" s="2"/>
      <c r="D164" s="2"/>
      <c r="E164" s="2"/>
      <c r="F164" s="3"/>
      <c r="G164" s="3"/>
      <c r="H164" s="2"/>
      <c r="I164" s="3"/>
      <c r="J164" s="2" t="str">
        <f ca="1">IF(OR(F164="",H164="Received",H164="Not needed"),"",MAX(0,TODAY()-F164))</f>
        <v/>
      </c>
      <c r="K164" s="2" t="str">
        <f ca="1">IF(H164="","",IF(OR(H164="Received",H164="Not needed"),"Closed",IF(AND(G164&lt;&gt;"",G164&lt;TODAY()),"Chase now","Waiting")))</f>
        <v/>
      </c>
      <c r="L164" s="2"/>
    </row>
    <row r="165" spans="1:12">
      <c r="A165" s="2"/>
      <c r="B165" s="2"/>
      <c r="C165" s="2"/>
      <c r="D165" s="2"/>
      <c r="E165" s="2"/>
      <c r="F165" s="3"/>
      <c r="G165" s="3"/>
      <c r="H165" s="2"/>
      <c r="I165" s="3"/>
      <c r="J165" s="2" t="str">
        <f ca="1">IF(OR(F165="",H165="Received",H165="Not needed"),"",MAX(0,TODAY()-F165))</f>
        <v/>
      </c>
      <c r="K165" s="2" t="str">
        <f ca="1">IF(H165="","",IF(OR(H165="Received",H165="Not needed"),"Closed",IF(AND(G165&lt;&gt;"",G165&lt;TODAY()),"Chase now","Waiting")))</f>
        <v/>
      </c>
      <c r="L165" s="2"/>
    </row>
    <row r="166" spans="1:12">
      <c r="A166" s="2"/>
      <c r="B166" s="2"/>
      <c r="C166" s="2"/>
      <c r="D166" s="2"/>
      <c r="E166" s="2"/>
      <c r="F166" s="3"/>
      <c r="G166" s="3"/>
      <c r="H166" s="2"/>
      <c r="I166" s="3"/>
      <c r="J166" s="2" t="str">
        <f ca="1">IF(OR(F166="",H166="Received",H166="Not needed"),"",MAX(0,TODAY()-F166))</f>
        <v/>
      </c>
      <c r="K166" s="2" t="str">
        <f ca="1">IF(H166="","",IF(OR(H166="Received",H166="Not needed"),"Closed",IF(AND(G166&lt;&gt;"",G166&lt;TODAY()),"Chase now","Waiting")))</f>
        <v/>
      </c>
      <c r="L166" s="2"/>
    </row>
    <row r="167" spans="1:12">
      <c r="A167" s="2"/>
      <c r="B167" s="2"/>
      <c r="C167" s="2"/>
      <c r="D167" s="2"/>
      <c r="E167" s="2"/>
      <c r="F167" s="3"/>
      <c r="G167" s="3"/>
      <c r="H167" s="2"/>
      <c r="I167" s="3"/>
      <c r="J167" s="2" t="str">
        <f ca="1">IF(OR(F167="",H167="Received",H167="Not needed"),"",MAX(0,TODAY()-F167))</f>
        <v/>
      </c>
      <c r="K167" s="2" t="str">
        <f ca="1">IF(H167="","",IF(OR(H167="Received",H167="Not needed"),"Closed",IF(AND(G167&lt;&gt;"",G167&lt;TODAY()),"Chase now","Waiting")))</f>
        <v/>
      </c>
      <c r="L167" s="2"/>
    </row>
    <row r="168" spans="1:12">
      <c r="A168" s="2"/>
      <c r="B168" s="2"/>
      <c r="C168" s="2"/>
      <c r="D168" s="2"/>
      <c r="E168" s="2"/>
      <c r="F168" s="3"/>
      <c r="G168" s="3"/>
      <c r="H168" s="2"/>
      <c r="I168" s="3"/>
      <c r="J168" s="2" t="str">
        <f ca="1">IF(OR(F168="",H168="Received",H168="Not needed"),"",MAX(0,TODAY()-F168))</f>
        <v/>
      </c>
      <c r="K168" s="2" t="str">
        <f ca="1">IF(H168="","",IF(OR(H168="Received",H168="Not needed"),"Closed",IF(AND(G168&lt;&gt;"",G168&lt;TODAY()),"Chase now","Waiting")))</f>
        <v/>
      </c>
      <c r="L168" s="2"/>
    </row>
    <row r="169" spans="1:12">
      <c r="A169" s="2"/>
      <c r="B169" s="2"/>
      <c r="C169" s="2"/>
      <c r="D169" s="2"/>
      <c r="E169" s="2"/>
      <c r="F169" s="3"/>
      <c r="G169" s="3"/>
      <c r="H169" s="2"/>
      <c r="I169" s="3"/>
      <c r="J169" s="2" t="str">
        <f ca="1">IF(OR(F169="",H169="Received",H169="Not needed"),"",MAX(0,TODAY()-F169))</f>
        <v/>
      </c>
      <c r="K169" s="2" t="str">
        <f ca="1">IF(H169="","",IF(OR(H169="Received",H169="Not needed"),"Closed",IF(AND(G169&lt;&gt;"",G169&lt;TODAY()),"Chase now","Waiting")))</f>
        <v/>
      </c>
      <c r="L169" s="2"/>
    </row>
    <row r="170" spans="1:12">
      <c r="A170" s="2"/>
      <c r="B170" s="2"/>
      <c r="C170" s="2"/>
      <c r="D170" s="2"/>
      <c r="E170" s="2"/>
      <c r="F170" s="3"/>
      <c r="G170" s="3"/>
      <c r="H170" s="2"/>
      <c r="I170" s="3"/>
      <c r="J170" s="2" t="str">
        <f ca="1">IF(OR(F170="",H170="Received",H170="Not needed"),"",MAX(0,TODAY()-F170))</f>
        <v/>
      </c>
      <c r="K170" s="2" t="str">
        <f ca="1">IF(H170="","",IF(OR(H170="Received",H170="Not needed"),"Closed",IF(AND(G170&lt;&gt;"",G170&lt;TODAY()),"Chase now","Waiting")))</f>
        <v/>
      </c>
      <c r="L170" s="2"/>
    </row>
    <row r="171" spans="1:12">
      <c r="A171" s="2"/>
      <c r="B171" s="2"/>
      <c r="C171" s="2"/>
      <c r="D171" s="2"/>
      <c r="E171" s="2"/>
      <c r="F171" s="3"/>
      <c r="G171" s="3"/>
      <c r="H171" s="2"/>
      <c r="I171" s="3"/>
      <c r="J171" s="2" t="str">
        <f ca="1">IF(OR(F171="",H171="Received",H171="Not needed"),"",MAX(0,TODAY()-F171))</f>
        <v/>
      </c>
      <c r="K171" s="2" t="str">
        <f ca="1">IF(H171="","",IF(OR(H171="Received",H171="Not needed"),"Closed",IF(AND(G171&lt;&gt;"",G171&lt;TODAY()),"Chase now","Waiting")))</f>
        <v/>
      </c>
      <c r="L171" s="2"/>
    </row>
    <row r="172" spans="1:12">
      <c r="A172" s="2"/>
      <c r="B172" s="2"/>
      <c r="C172" s="2"/>
      <c r="D172" s="2"/>
      <c r="E172" s="2"/>
      <c r="F172" s="3"/>
      <c r="G172" s="3"/>
      <c r="H172" s="2"/>
      <c r="I172" s="3"/>
      <c r="J172" s="2" t="str">
        <f ca="1">IF(OR(F172="",H172="Received",H172="Not needed"),"",MAX(0,TODAY()-F172))</f>
        <v/>
      </c>
      <c r="K172" s="2" t="str">
        <f ca="1">IF(H172="","",IF(OR(H172="Received",H172="Not needed"),"Closed",IF(AND(G172&lt;&gt;"",G172&lt;TODAY()),"Chase now","Waiting")))</f>
        <v/>
      </c>
      <c r="L172" s="2"/>
    </row>
    <row r="173" spans="1:12">
      <c r="A173" s="2"/>
      <c r="B173" s="2"/>
      <c r="C173" s="2"/>
      <c r="D173" s="2"/>
      <c r="E173" s="2"/>
      <c r="F173" s="3"/>
      <c r="G173" s="3"/>
      <c r="H173" s="2"/>
      <c r="I173" s="3"/>
      <c r="J173" s="2" t="str">
        <f ca="1">IF(OR(F173="",H173="Received",H173="Not needed"),"",MAX(0,TODAY()-F173))</f>
        <v/>
      </c>
      <c r="K173" s="2" t="str">
        <f ca="1">IF(H173="","",IF(OR(H173="Received",H173="Not needed"),"Closed",IF(AND(G173&lt;&gt;"",G173&lt;TODAY()),"Chase now","Waiting")))</f>
        <v/>
      </c>
      <c r="L173" s="2"/>
    </row>
    <row r="174" spans="1:12">
      <c r="A174" s="2"/>
      <c r="B174" s="2"/>
      <c r="C174" s="2"/>
      <c r="D174" s="2"/>
      <c r="E174" s="2"/>
      <c r="F174" s="3"/>
      <c r="G174" s="3"/>
      <c r="H174" s="2"/>
      <c r="I174" s="3"/>
      <c r="J174" s="2" t="str">
        <f ca="1">IF(OR(F174="",H174="Received",H174="Not needed"),"",MAX(0,TODAY()-F174))</f>
        <v/>
      </c>
      <c r="K174" s="2" t="str">
        <f ca="1">IF(H174="","",IF(OR(H174="Received",H174="Not needed"),"Closed",IF(AND(G174&lt;&gt;"",G174&lt;TODAY()),"Chase now","Waiting")))</f>
        <v/>
      </c>
      <c r="L174" s="2"/>
    </row>
    <row r="175" spans="1:12">
      <c r="A175" s="2"/>
      <c r="B175" s="2"/>
      <c r="C175" s="2"/>
      <c r="D175" s="2"/>
      <c r="E175" s="2"/>
      <c r="F175" s="3"/>
      <c r="G175" s="3"/>
      <c r="H175" s="2"/>
      <c r="I175" s="3"/>
      <c r="J175" s="2" t="str">
        <f ca="1">IF(OR(F175="",H175="Received",H175="Not needed"),"",MAX(0,TODAY()-F175))</f>
        <v/>
      </c>
      <c r="K175" s="2" t="str">
        <f ca="1">IF(H175="","",IF(OR(H175="Received",H175="Not needed"),"Closed",IF(AND(G175&lt;&gt;"",G175&lt;TODAY()),"Chase now","Waiting")))</f>
        <v/>
      </c>
      <c r="L175" s="2"/>
    </row>
    <row r="176" spans="1:12">
      <c r="A176" s="2"/>
      <c r="B176" s="2"/>
      <c r="C176" s="2"/>
      <c r="D176" s="2"/>
      <c r="E176" s="2"/>
      <c r="F176" s="3"/>
      <c r="G176" s="3"/>
      <c r="H176" s="2"/>
      <c r="I176" s="3"/>
      <c r="J176" s="2" t="str">
        <f ca="1">IF(OR(F176="",H176="Received",H176="Not needed"),"",MAX(0,TODAY()-F176))</f>
        <v/>
      </c>
      <c r="K176" s="2" t="str">
        <f ca="1">IF(H176="","",IF(OR(H176="Received",H176="Not needed"),"Closed",IF(AND(G176&lt;&gt;"",G176&lt;TODAY()),"Chase now","Waiting")))</f>
        <v/>
      </c>
      <c r="L176" s="2"/>
    </row>
    <row r="177" spans="1:12">
      <c r="A177" s="2"/>
      <c r="B177" s="2"/>
      <c r="C177" s="2"/>
      <c r="D177" s="2"/>
      <c r="E177" s="2"/>
      <c r="F177" s="3"/>
      <c r="G177" s="3"/>
      <c r="H177" s="2"/>
      <c r="I177" s="3"/>
      <c r="J177" s="2" t="str">
        <f ca="1">IF(OR(F177="",H177="Received",H177="Not needed"),"",MAX(0,TODAY()-F177))</f>
        <v/>
      </c>
      <c r="K177" s="2" t="str">
        <f ca="1">IF(H177="","",IF(OR(H177="Received",H177="Not needed"),"Closed",IF(AND(G177&lt;&gt;"",G177&lt;TODAY()),"Chase now","Waiting")))</f>
        <v/>
      </c>
      <c r="L177" s="2"/>
    </row>
    <row r="178" spans="1:12">
      <c r="A178" s="2"/>
      <c r="B178" s="2"/>
      <c r="C178" s="2"/>
      <c r="D178" s="2"/>
      <c r="E178" s="2"/>
      <c r="F178" s="3"/>
      <c r="G178" s="3"/>
      <c r="H178" s="2"/>
      <c r="I178" s="3"/>
      <c r="J178" s="2" t="str">
        <f ca="1">IF(OR(F178="",H178="Received",H178="Not needed"),"",MAX(0,TODAY()-F178))</f>
        <v/>
      </c>
      <c r="K178" s="2" t="str">
        <f ca="1">IF(H178="","",IF(OR(H178="Received",H178="Not needed"),"Closed",IF(AND(G178&lt;&gt;"",G178&lt;TODAY()),"Chase now","Waiting")))</f>
        <v/>
      </c>
      <c r="L178" s="2"/>
    </row>
    <row r="179" spans="1:12">
      <c r="A179" s="2"/>
      <c r="B179" s="2"/>
      <c r="C179" s="2"/>
      <c r="D179" s="2"/>
      <c r="E179" s="2"/>
      <c r="F179" s="3"/>
      <c r="G179" s="3"/>
      <c r="H179" s="2"/>
      <c r="I179" s="3"/>
      <c r="J179" s="2" t="str">
        <f ca="1">IF(OR(F179="",H179="Received",H179="Not needed"),"",MAX(0,TODAY()-F179))</f>
        <v/>
      </c>
      <c r="K179" s="2" t="str">
        <f ca="1">IF(H179="","",IF(OR(H179="Received",H179="Not needed"),"Closed",IF(AND(G179&lt;&gt;"",G179&lt;TODAY()),"Chase now","Waiting")))</f>
        <v/>
      </c>
      <c r="L179" s="2"/>
    </row>
    <row r="180" spans="1:12">
      <c r="A180" s="2"/>
      <c r="B180" s="2"/>
      <c r="C180" s="2"/>
      <c r="D180" s="2"/>
      <c r="E180" s="2"/>
      <c r="F180" s="3"/>
      <c r="G180" s="3"/>
      <c r="H180" s="2"/>
      <c r="I180" s="3"/>
      <c r="J180" s="2" t="str">
        <f ca="1">IF(OR(F180="",H180="Received",H180="Not needed"),"",MAX(0,TODAY()-F180))</f>
        <v/>
      </c>
      <c r="K180" s="2" t="str">
        <f ca="1">IF(H180="","",IF(OR(H180="Received",H180="Not needed"),"Closed",IF(AND(G180&lt;&gt;"",G180&lt;TODAY()),"Chase now","Waiting")))</f>
        <v/>
      </c>
      <c r="L180" s="2"/>
    </row>
    <row r="181" spans="1:12">
      <c r="A181" s="2"/>
      <c r="B181" s="2"/>
      <c r="C181" s="2"/>
      <c r="D181" s="2"/>
      <c r="E181" s="2"/>
      <c r="F181" s="3"/>
      <c r="G181" s="3"/>
      <c r="H181" s="2"/>
      <c r="I181" s="3"/>
      <c r="J181" s="2" t="str">
        <f ca="1">IF(OR(F181="",H181="Received",H181="Not needed"),"",MAX(0,TODAY()-F181))</f>
        <v/>
      </c>
      <c r="K181" s="2" t="str">
        <f ca="1">IF(H181="","",IF(OR(H181="Received",H181="Not needed"),"Closed",IF(AND(G181&lt;&gt;"",G181&lt;TODAY()),"Chase now","Waiting")))</f>
        <v/>
      </c>
      <c r="L181" s="2"/>
    </row>
    <row r="182" spans="1:12">
      <c r="A182" s="2"/>
      <c r="B182" s="2"/>
      <c r="C182" s="2"/>
      <c r="D182" s="2"/>
      <c r="E182" s="2"/>
      <c r="F182" s="3"/>
      <c r="G182" s="3"/>
      <c r="H182" s="2"/>
      <c r="I182" s="3"/>
      <c r="J182" s="2" t="str">
        <f ca="1">IF(OR(F182="",H182="Received",H182="Not needed"),"",MAX(0,TODAY()-F182))</f>
        <v/>
      </c>
      <c r="K182" s="2" t="str">
        <f ca="1">IF(H182="","",IF(OR(H182="Received",H182="Not needed"),"Closed",IF(AND(G182&lt;&gt;"",G182&lt;TODAY()),"Chase now","Waiting")))</f>
        <v/>
      </c>
      <c r="L182" s="2"/>
    </row>
    <row r="183" spans="1:12">
      <c r="A183" s="2"/>
      <c r="B183" s="2"/>
      <c r="C183" s="2"/>
      <c r="D183" s="2"/>
      <c r="E183" s="2"/>
      <c r="F183" s="3"/>
      <c r="G183" s="3"/>
      <c r="H183" s="2"/>
      <c r="I183" s="3"/>
      <c r="J183" s="2" t="str">
        <f ca="1">IF(OR(F183="",H183="Received",H183="Not needed"),"",MAX(0,TODAY()-F183))</f>
        <v/>
      </c>
      <c r="K183" s="2" t="str">
        <f ca="1">IF(H183="","",IF(OR(H183="Received",H183="Not needed"),"Closed",IF(AND(G183&lt;&gt;"",G183&lt;TODAY()),"Chase now","Waiting")))</f>
        <v/>
      </c>
      <c r="L183" s="2"/>
    </row>
    <row r="184" spans="1:12">
      <c r="A184" s="2"/>
      <c r="B184" s="2"/>
      <c r="C184" s="2"/>
      <c r="D184" s="2"/>
      <c r="E184" s="2"/>
      <c r="F184" s="3"/>
      <c r="G184" s="3"/>
      <c r="H184" s="2"/>
      <c r="I184" s="3"/>
      <c r="J184" s="2" t="str">
        <f ca="1">IF(OR(F184="",H184="Received",H184="Not needed"),"",MAX(0,TODAY()-F184))</f>
        <v/>
      </c>
      <c r="K184" s="2" t="str">
        <f ca="1">IF(H184="","",IF(OR(H184="Received",H184="Not needed"),"Closed",IF(AND(G184&lt;&gt;"",G184&lt;TODAY()),"Chase now","Waiting")))</f>
        <v/>
      </c>
      <c r="L184" s="2"/>
    </row>
    <row r="185" spans="1:12">
      <c r="A185" s="2"/>
      <c r="B185" s="2"/>
      <c r="C185" s="2"/>
      <c r="D185" s="2"/>
      <c r="E185" s="2"/>
      <c r="F185" s="3"/>
      <c r="G185" s="3"/>
      <c r="H185" s="2"/>
      <c r="I185" s="3"/>
      <c r="J185" s="2" t="str">
        <f ca="1">IF(OR(F185="",H185="Received",H185="Not needed"),"",MAX(0,TODAY()-F185))</f>
        <v/>
      </c>
      <c r="K185" s="2" t="str">
        <f ca="1">IF(H185="","",IF(OR(H185="Received",H185="Not needed"),"Closed",IF(AND(G185&lt;&gt;"",G185&lt;TODAY()),"Chase now","Waiting")))</f>
        <v/>
      </c>
      <c r="L185" s="2"/>
    </row>
    <row r="186" spans="1:12">
      <c r="A186" s="2"/>
      <c r="B186" s="2"/>
      <c r="C186" s="2"/>
      <c r="D186" s="2"/>
      <c r="E186" s="2"/>
      <c r="F186" s="3"/>
      <c r="G186" s="3"/>
      <c r="H186" s="2"/>
      <c r="I186" s="3"/>
      <c r="J186" s="2" t="str">
        <f ca="1">IF(OR(F186="",H186="Received",H186="Not needed"),"",MAX(0,TODAY()-F186))</f>
        <v/>
      </c>
      <c r="K186" s="2" t="str">
        <f ca="1">IF(H186="","",IF(OR(H186="Received",H186="Not needed"),"Closed",IF(AND(G186&lt;&gt;"",G186&lt;TODAY()),"Chase now","Waiting")))</f>
        <v/>
      </c>
      <c r="L186" s="2"/>
    </row>
    <row r="187" spans="1:12">
      <c r="A187" s="2"/>
      <c r="B187" s="2"/>
      <c r="C187" s="2"/>
      <c r="D187" s="2"/>
      <c r="E187" s="2"/>
      <c r="F187" s="3"/>
      <c r="G187" s="3"/>
      <c r="H187" s="2"/>
      <c r="I187" s="3"/>
      <c r="J187" s="2" t="str">
        <f ca="1">IF(OR(F187="",H187="Received",H187="Not needed"),"",MAX(0,TODAY()-F187))</f>
        <v/>
      </c>
      <c r="K187" s="2" t="str">
        <f ca="1">IF(H187="","",IF(OR(H187="Received",H187="Not needed"),"Closed",IF(AND(G187&lt;&gt;"",G187&lt;TODAY()),"Chase now","Waiting")))</f>
        <v/>
      </c>
      <c r="L187" s="2"/>
    </row>
    <row r="188" spans="1:12">
      <c r="A188" s="2"/>
      <c r="B188" s="2"/>
      <c r="C188" s="2"/>
      <c r="D188" s="2"/>
      <c r="E188" s="2"/>
      <c r="F188" s="3"/>
      <c r="G188" s="3"/>
      <c r="H188" s="2"/>
      <c r="I188" s="3"/>
      <c r="J188" s="2" t="str">
        <f ca="1">IF(OR(F188="",H188="Received",H188="Not needed"),"",MAX(0,TODAY()-F188))</f>
        <v/>
      </c>
      <c r="K188" s="2" t="str">
        <f ca="1">IF(H188="","",IF(OR(H188="Received",H188="Not needed"),"Closed",IF(AND(G188&lt;&gt;"",G188&lt;TODAY()),"Chase now","Waiting")))</f>
        <v/>
      </c>
      <c r="L188" s="2"/>
    </row>
    <row r="189" spans="1:12">
      <c r="A189" s="2"/>
      <c r="B189" s="2"/>
      <c r="C189" s="2"/>
      <c r="D189" s="2"/>
      <c r="E189" s="2"/>
      <c r="F189" s="3"/>
      <c r="G189" s="3"/>
      <c r="H189" s="2"/>
      <c r="I189" s="3"/>
      <c r="J189" s="2" t="str">
        <f ca="1">IF(OR(F189="",H189="Received",H189="Not needed"),"",MAX(0,TODAY()-F189))</f>
        <v/>
      </c>
      <c r="K189" s="2" t="str">
        <f ca="1">IF(H189="","",IF(OR(H189="Received",H189="Not needed"),"Closed",IF(AND(G189&lt;&gt;"",G189&lt;TODAY()),"Chase now","Waiting")))</f>
        <v/>
      </c>
      <c r="L189" s="2"/>
    </row>
    <row r="190" spans="1:12">
      <c r="A190" s="2"/>
      <c r="B190" s="2"/>
      <c r="C190" s="2"/>
      <c r="D190" s="2"/>
      <c r="E190" s="2"/>
      <c r="F190" s="3"/>
      <c r="G190" s="3"/>
      <c r="H190" s="2"/>
      <c r="I190" s="3"/>
      <c r="J190" s="2" t="str">
        <f ca="1">IF(OR(F190="",H190="Received",H190="Not needed"),"",MAX(0,TODAY()-F190))</f>
        <v/>
      </c>
      <c r="K190" s="2" t="str">
        <f ca="1">IF(H190="","",IF(OR(H190="Received",H190="Not needed"),"Closed",IF(AND(G190&lt;&gt;"",G190&lt;TODAY()),"Chase now","Waiting")))</f>
        <v/>
      </c>
      <c r="L190" s="2"/>
    </row>
    <row r="191" spans="1:12">
      <c r="A191" s="2"/>
      <c r="B191" s="2"/>
      <c r="C191" s="2"/>
      <c r="D191" s="2"/>
      <c r="E191" s="2"/>
      <c r="F191" s="3"/>
      <c r="G191" s="3"/>
      <c r="H191" s="2"/>
      <c r="I191" s="3"/>
      <c r="J191" s="2" t="str">
        <f ca="1">IF(OR(F191="",H191="Received",H191="Not needed"),"",MAX(0,TODAY()-F191))</f>
        <v/>
      </c>
      <c r="K191" s="2" t="str">
        <f ca="1">IF(H191="","",IF(OR(H191="Received",H191="Not needed"),"Closed",IF(AND(G191&lt;&gt;"",G191&lt;TODAY()),"Chase now","Waiting")))</f>
        <v/>
      </c>
      <c r="L191" s="2"/>
    </row>
    <row r="192" spans="1:12">
      <c r="A192" s="2"/>
      <c r="B192" s="2"/>
      <c r="C192" s="2"/>
      <c r="D192" s="2"/>
      <c r="E192" s="2"/>
      <c r="F192" s="3"/>
      <c r="G192" s="3"/>
      <c r="H192" s="2"/>
      <c r="I192" s="3"/>
      <c r="J192" s="2" t="str">
        <f ca="1">IF(OR(F192="",H192="Received",H192="Not needed"),"",MAX(0,TODAY()-F192))</f>
        <v/>
      </c>
      <c r="K192" s="2" t="str">
        <f ca="1">IF(H192="","",IF(OR(H192="Received",H192="Not needed"),"Closed",IF(AND(G192&lt;&gt;"",G192&lt;TODAY()),"Chase now","Waiting")))</f>
        <v/>
      </c>
      <c r="L192" s="2"/>
    </row>
    <row r="193" spans="1:12">
      <c r="A193" s="2"/>
      <c r="B193" s="2"/>
      <c r="C193" s="2"/>
      <c r="D193" s="2"/>
      <c r="E193" s="2"/>
      <c r="F193" s="3"/>
      <c r="G193" s="3"/>
      <c r="H193" s="2"/>
      <c r="I193" s="3"/>
      <c r="J193" s="2" t="str">
        <f ca="1">IF(OR(F193="",H193="Received",H193="Not needed"),"",MAX(0,TODAY()-F193))</f>
        <v/>
      </c>
      <c r="K193" s="2" t="str">
        <f ca="1">IF(H193="","",IF(OR(H193="Received",H193="Not needed"),"Closed",IF(AND(G193&lt;&gt;"",G193&lt;TODAY()),"Chase now","Waiting")))</f>
        <v/>
      </c>
      <c r="L193" s="2"/>
    </row>
    <row r="194" spans="1:12">
      <c r="A194" s="2"/>
      <c r="B194" s="2"/>
      <c r="C194" s="2"/>
      <c r="D194" s="2"/>
      <c r="E194" s="2"/>
      <c r="F194" s="3"/>
      <c r="G194" s="3"/>
      <c r="H194" s="2"/>
      <c r="I194" s="3"/>
      <c r="J194" s="2" t="str">
        <f ca="1">IF(OR(F194="",H194="Received",H194="Not needed"),"",MAX(0,TODAY()-F194))</f>
        <v/>
      </c>
      <c r="K194" s="2" t="str">
        <f ca="1">IF(H194="","",IF(OR(H194="Received",H194="Not needed"),"Closed",IF(AND(G194&lt;&gt;"",G194&lt;TODAY()),"Chase now","Waiting")))</f>
        <v/>
      </c>
      <c r="L194" s="2"/>
    </row>
    <row r="195" spans="1:12">
      <c r="A195" s="2"/>
      <c r="B195" s="2"/>
      <c r="C195" s="2"/>
      <c r="D195" s="2"/>
      <c r="E195" s="2"/>
      <c r="F195" s="3"/>
      <c r="G195" s="3"/>
      <c r="H195" s="2"/>
      <c r="I195" s="3"/>
      <c r="J195" s="2" t="str">
        <f ca="1">IF(OR(F195="",H195="Received",H195="Not needed"),"",MAX(0,TODAY()-F195))</f>
        <v/>
      </c>
      <c r="K195" s="2" t="str">
        <f ca="1">IF(H195="","",IF(OR(H195="Received",H195="Not needed"),"Closed",IF(AND(G195&lt;&gt;"",G195&lt;TODAY()),"Chase now","Waiting")))</f>
        <v/>
      </c>
      <c r="L195" s="2"/>
    </row>
    <row r="196" spans="1:12">
      <c r="A196" s="2"/>
      <c r="B196" s="2"/>
      <c r="C196" s="2"/>
      <c r="D196" s="2"/>
      <c r="E196" s="2"/>
      <c r="F196" s="3"/>
      <c r="G196" s="3"/>
      <c r="H196" s="2"/>
      <c r="I196" s="3"/>
      <c r="J196" s="2" t="str">
        <f ca="1">IF(OR(F196="",H196="Received",H196="Not needed"),"",MAX(0,TODAY()-F196))</f>
        <v/>
      </c>
      <c r="K196" s="2" t="str">
        <f ca="1">IF(H196="","",IF(OR(H196="Received",H196="Not needed"),"Closed",IF(AND(G196&lt;&gt;"",G196&lt;TODAY()),"Chase now","Waiting")))</f>
        <v/>
      </c>
      <c r="L196" s="2"/>
    </row>
    <row r="197" spans="1:12">
      <c r="A197" s="2"/>
      <c r="B197" s="2"/>
      <c r="C197" s="2"/>
      <c r="D197" s="2"/>
      <c r="E197" s="2"/>
      <c r="F197" s="3"/>
      <c r="G197" s="3"/>
      <c r="H197" s="2"/>
      <c r="I197" s="3"/>
      <c r="J197" s="2" t="str">
        <f ca="1">IF(OR(F197="",H197="Received",H197="Not needed"),"",MAX(0,TODAY()-F197))</f>
        <v/>
      </c>
      <c r="K197" s="2" t="str">
        <f ca="1">IF(H197="","",IF(OR(H197="Received",H197="Not needed"),"Closed",IF(AND(G197&lt;&gt;"",G197&lt;TODAY()),"Chase now","Waiting")))</f>
        <v/>
      </c>
      <c r="L197" s="2"/>
    </row>
    <row r="198" spans="1:12">
      <c r="A198" s="2"/>
      <c r="B198" s="2"/>
      <c r="C198" s="2"/>
      <c r="D198" s="2"/>
      <c r="E198" s="2"/>
      <c r="F198" s="3"/>
      <c r="G198" s="3"/>
      <c r="H198" s="2"/>
      <c r="I198" s="3"/>
      <c r="J198" s="2" t="str">
        <f ca="1">IF(OR(F198="",H198="Received",H198="Not needed"),"",MAX(0,TODAY()-F198))</f>
        <v/>
      </c>
      <c r="K198" s="2" t="str">
        <f ca="1">IF(H198="","",IF(OR(H198="Received",H198="Not needed"),"Closed",IF(AND(G198&lt;&gt;"",G198&lt;TODAY()),"Chase now","Waiting")))</f>
        <v/>
      </c>
      <c r="L198" s="2"/>
    </row>
    <row r="199" spans="1:12">
      <c r="A199" s="2"/>
      <c r="B199" s="2"/>
      <c r="C199" s="2"/>
      <c r="D199" s="2"/>
      <c r="E199" s="2"/>
      <c r="F199" s="3"/>
      <c r="G199" s="3"/>
      <c r="H199" s="2"/>
      <c r="I199" s="3"/>
      <c r="J199" s="2" t="str">
        <f ca="1">IF(OR(F199="",H199="Received",H199="Not needed"),"",MAX(0,TODAY()-F199))</f>
        <v/>
      </c>
      <c r="K199" s="2" t="str">
        <f ca="1">IF(H199="","",IF(OR(H199="Received",H199="Not needed"),"Closed",IF(AND(G199&lt;&gt;"",G199&lt;TODAY()),"Chase now","Waiting")))</f>
        <v/>
      </c>
      <c r="L199" s="2"/>
    </row>
    <row r="200" spans="1:12">
      <c r="A200" s="2"/>
      <c r="B200" s="2"/>
      <c r="C200" s="2"/>
      <c r="D200" s="2"/>
      <c r="E200" s="2"/>
      <c r="F200" s="3"/>
      <c r="G200" s="3"/>
      <c r="H200" s="2"/>
      <c r="I200" s="3"/>
      <c r="J200" s="2" t="str">
        <f ca="1">IF(OR(F200="",H200="Received",H200="Not needed"),"",MAX(0,TODAY()-F200))</f>
        <v/>
      </c>
      <c r="K200" s="2" t="str">
        <f ca="1">IF(H200="","",IF(OR(H200="Received",H200="Not needed"),"Closed",IF(AND(G200&lt;&gt;"",G200&lt;TODAY()),"Chase now","Waiting")))</f>
        <v/>
      </c>
      <c r="L200" s="2"/>
    </row>
    <row r="201" spans="1:12">
      <c r="A201" s="2"/>
      <c r="B201" s="2"/>
      <c r="C201" s="2"/>
      <c r="D201" s="2"/>
      <c r="E201" s="2"/>
      <c r="F201" s="3"/>
      <c r="G201" s="3"/>
      <c r="H201" s="2"/>
      <c r="I201" s="3"/>
      <c r="J201" s="2" t="str">
        <f ca="1">IF(OR(F201="",H201="Received",H201="Not needed"),"",MAX(0,TODAY()-F201))</f>
        <v/>
      </c>
      <c r="K201" s="2" t="str">
        <f ca="1">IF(H201="","",IF(OR(H201="Received",H201="Not needed"),"Closed",IF(AND(G201&lt;&gt;"",G201&lt;TODAY()),"Chase now","Waiting")))</f>
        <v/>
      </c>
      <c r="L201" s="2"/>
    </row>
    <row r="202" spans="1:12">
      <c r="A202" s="2"/>
      <c r="B202" s="2"/>
      <c r="C202" s="2"/>
      <c r="D202" s="2"/>
      <c r="E202" s="2"/>
      <c r="F202" s="3"/>
      <c r="G202" s="3"/>
      <c r="H202" s="2"/>
      <c r="I202" s="3"/>
      <c r="J202" s="2" t="str">
        <f ca="1">IF(OR(F202="",H202="Received",H202="Not needed"),"",MAX(0,TODAY()-F202))</f>
        <v/>
      </c>
      <c r="K202" s="2" t="str">
        <f ca="1">IF(H202="","",IF(OR(H202="Received",H202="Not needed"),"Closed",IF(AND(G202&lt;&gt;"",G202&lt;TODAY()),"Chase now","Waiting")))</f>
        <v/>
      </c>
      <c r="L202" s="2"/>
    </row>
    <row r="203" spans="1:12">
      <c r="A203" s="2"/>
      <c r="B203" s="2"/>
      <c r="C203" s="2"/>
      <c r="D203" s="2"/>
      <c r="E203" s="2"/>
      <c r="F203" s="3"/>
      <c r="G203" s="3"/>
      <c r="H203" s="2"/>
      <c r="I203" s="3"/>
      <c r="J203" s="2" t="str">
        <f ca="1">IF(OR(F203="",H203="Received",H203="Not needed"),"",MAX(0,TODAY()-F203))</f>
        <v/>
      </c>
      <c r="K203" s="2" t="str">
        <f ca="1">IF(H203="","",IF(OR(H203="Received",H203="Not needed"),"Closed",IF(AND(G203&lt;&gt;"",G203&lt;TODAY()),"Chase now","Waiting")))</f>
        <v/>
      </c>
      <c r="L203" s="2"/>
    </row>
    <row r="204" spans="1:12">
      <c r="A204" s="2"/>
      <c r="B204" s="2"/>
      <c r="C204" s="2"/>
      <c r="D204" s="2"/>
      <c r="E204" s="2"/>
      <c r="F204" s="3"/>
      <c r="G204" s="3"/>
      <c r="H204" s="2"/>
      <c r="I204" s="3"/>
      <c r="J204" s="2" t="str">
        <f ca="1">IF(OR(F204="",H204="Received",H204="Not needed"),"",MAX(0,TODAY()-F204))</f>
        <v/>
      </c>
      <c r="K204" s="2" t="str">
        <f ca="1">IF(H204="","",IF(OR(H204="Received",H204="Not needed"),"Closed",IF(AND(G204&lt;&gt;"",G204&lt;TODAY()),"Chase now","Waiting")))</f>
        <v/>
      </c>
      <c r="L204" s="2"/>
    </row>
    <row r="205" spans="1:12">
      <c r="A205" s="2"/>
      <c r="B205" s="2"/>
      <c r="C205" s="2"/>
      <c r="D205" s="2"/>
      <c r="E205" s="2"/>
      <c r="F205" s="3"/>
      <c r="G205" s="3"/>
      <c r="H205" s="2"/>
      <c r="I205" s="3"/>
      <c r="J205" s="2" t="str">
        <f ca="1">IF(OR(F205="",H205="Received",H205="Not needed"),"",MAX(0,TODAY()-F205))</f>
        <v/>
      </c>
      <c r="K205" s="2" t="str">
        <f ca="1">IF(H205="","",IF(OR(H205="Received",H205="Not needed"),"Closed",IF(AND(G205&lt;&gt;"",G205&lt;TODAY()),"Chase now","Waiting")))</f>
        <v/>
      </c>
      <c r="L205" s="2"/>
    </row>
    <row r="206" spans="1:12">
      <c r="A206" s="2"/>
      <c r="B206" s="2"/>
      <c r="C206" s="2"/>
      <c r="D206" s="2"/>
      <c r="E206" s="2"/>
      <c r="F206" s="3"/>
      <c r="G206" s="3"/>
      <c r="H206" s="2"/>
      <c r="I206" s="3"/>
      <c r="J206" s="2" t="str">
        <f ca="1">IF(OR(F206="",H206="Received",H206="Not needed"),"",MAX(0,TODAY()-F206))</f>
        <v/>
      </c>
      <c r="K206" s="2" t="str">
        <f ca="1">IF(H206="","",IF(OR(H206="Received",H206="Not needed"),"Closed",IF(AND(G206&lt;&gt;"",G206&lt;TODAY()),"Chase now","Waiting")))</f>
        <v/>
      </c>
      <c r="L206" s="2"/>
    </row>
    <row r="207" spans="1:12">
      <c r="A207" s="2"/>
      <c r="B207" s="2"/>
      <c r="C207" s="2"/>
      <c r="D207" s="2"/>
      <c r="E207" s="2"/>
      <c r="F207" s="3"/>
      <c r="G207" s="3"/>
      <c r="H207" s="2"/>
      <c r="I207" s="3"/>
      <c r="J207" s="2" t="str">
        <f ca="1">IF(OR(F207="",H207="Received",H207="Not needed"),"",MAX(0,TODAY()-F207))</f>
        <v/>
      </c>
      <c r="K207" s="2" t="str">
        <f ca="1">IF(H207="","",IF(OR(H207="Received",H207="Not needed"),"Closed",IF(AND(G207&lt;&gt;"",G207&lt;TODAY()),"Chase now","Waiting")))</f>
        <v/>
      </c>
      <c r="L207" s="2"/>
    </row>
    <row r="208" spans="1:12">
      <c r="A208" s="2"/>
      <c r="B208" s="2"/>
      <c r="C208" s="2"/>
      <c r="D208" s="2"/>
      <c r="E208" s="2"/>
      <c r="F208" s="3"/>
      <c r="G208" s="3"/>
      <c r="H208" s="2"/>
      <c r="I208" s="3"/>
      <c r="J208" s="2" t="str">
        <f ca="1">IF(OR(F208="",H208="Received",H208="Not needed"),"",MAX(0,TODAY()-F208))</f>
        <v/>
      </c>
      <c r="K208" s="2" t="str">
        <f ca="1">IF(H208="","",IF(OR(H208="Received",H208="Not needed"),"Closed",IF(AND(G208&lt;&gt;"",G208&lt;TODAY()),"Chase now","Waiting")))</f>
        <v/>
      </c>
      <c r="L208" s="2"/>
    </row>
    <row r="209" spans="1:12">
      <c r="A209" s="2"/>
      <c r="B209" s="2"/>
      <c r="C209" s="2"/>
      <c r="D209" s="2"/>
      <c r="E209" s="2"/>
      <c r="F209" s="3"/>
      <c r="G209" s="3"/>
      <c r="H209" s="2"/>
      <c r="I209" s="3"/>
      <c r="J209" s="2" t="str">
        <f ca="1">IF(OR(F209="",H209="Received",H209="Not needed"),"",MAX(0,TODAY()-F209))</f>
        <v/>
      </c>
      <c r="K209" s="2" t="str">
        <f ca="1">IF(H209="","",IF(OR(H209="Received",H209="Not needed"),"Closed",IF(AND(G209&lt;&gt;"",G209&lt;TODAY()),"Chase now","Waiting")))</f>
        <v/>
      </c>
      <c r="L209" s="2"/>
    </row>
    <row r="210" spans="1:12">
      <c r="A210" s="2"/>
      <c r="B210" s="2"/>
      <c r="C210" s="2"/>
      <c r="D210" s="2"/>
      <c r="E210" s="2"/>
      <c r="F210" s="3"/>
      <c r="G210" s="3"/>
      <c r="H210" s="2"/>
      <c r="I210" s="3"/>
      <c r="J210" s="2" t="str">
        <f ca="1">IF(OR(F210="",H210="Received",H210="Not needed"),"",MAX(0,TODAY()-F210))</f>
        <v/>
      </c>
      <c r="K210" s="2" t="str">
        <f ca="1">IF(H210="","",IF(OR(H210="Received",H210="Not needed"),"Closed",IF(AND(G210&lt;&gt;"",G210&lt;TODAY()),"Chase now","Waiting")))</f>
        <v/>
      </c>
      <c r="L210" s="2"/>
    </row>
  </sheetData>
  <autoFilter ref="A10:L210" xr:uid="{00000000-0009-0000-0000-000003000000}"/>
  <mergeCells count="12">
    <mergeCell ref="A1:L1"/>
    <mergeCell ref="A5:B5"/>
    <mergeCell ref="C4:E4"/>
    <mergeCell ref="A8:L8"/>
    <mergeCell ref="J4:L4"/>
    <mergeCell ref="F5:I5"/>
    <mergeCell ref="A4:B4"/>
    <mergeCell ref="J5:L5"/>
    <mergeCell ref="A2:L2"/>
    <mergeCell ref="A7:L7"/>
    <mergeCell ref="C5:E5"/>
    <mergeCell ref="F4:I4"/>
  </mergeCells>
  <conditionalFormatting sqref="H11:H210">
    <cfRule type="cellIs" dxfId="35" priority="5" operator="equal">
      <formula>"Requested"</formula>
    </cfRule>
    <cfRule type="cellIs" dxfId="34" priority="6" operator="equal">
      <formula>"Reminder sent"</formula>
    </cfRule>
    <cfRule type="cellIs" dxfId="33" priority="7" operator="equal">
      <formula>"Partly received"</formula>
    </cfRule>
    <cfRule type="cellIs" dxfId="32" priority="8" operator="equal">
      <formula>"Received"</formula>
    </cfRule>
    <cfRule type="cellIs" dxfId="31" priority="9" operator="equal">
      <formula>"Not needed"</formula>
    </cfRule>
  </conditionalFormatting>
  <conditionalFormatting sqref="K11:K210">
    <cfRule type="cellIs" dxfId="30" priority="10" operator="equal">
      <formula>"Chase now"</formula>
    </cfRule>
    <cfRule type="cellIs" dxfId="29" priority="11" operator="equal">
      <formula>"Waiting"</formula>
    </cfRule>
    <cfRule type="cellIs" dxfId="28" priority="12" operator="equal">
      <formula>"Closed"</formula>
    </cfRule>
  </conditionalFormatting>
  <conditionalFormatting sqref="A11:L210">
    <cfRule type="expression" dxfId="27" priority="13">
      <formula>MOD(ROW(),2)=0</formula>
    </cfRule>
  </conditionalFormatting>
  <conditionalFormatting sqref="C5">
    <cfRule type="cellIs" dxfId="26" priority="14" operator="greaterThan">
      <formula>0</formula>
    </cfRule>
  </conditionalFormatting>
  <dataValidations count="2">
    <dataValidation type="list" allowBlank="1" sqref="B11:B210" xr:uid="{00000000-0002-0000-0300-000000000000}">
      <formula1>"File,Access request,Information,Approval,Other"</formula1>
    </dataValidation>
    <dataValidation type="list" allowBlank="1" sqref="H11:H210" xr:uid="{00000000-0002-0000-0300-000001000000}">
      <formula1>"Requested,Reminder sent,Partly received,Received,Not needed"</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338CA"/>
  </sheetPr>
  <dimension ref="A1:M210"/>
  <sheetViews>
    <sheetView showGridLines="0" workbookViewId="0"/>
  </sheetViews>
  <sheetFormatPr defaultRowHeight="15"/>
  <cols>
    <col min="1" max="1" width="34" customWidth="1"/>
    <col min="2" max="2" width="26" customWidth="1"/>
    <col min="3" max="4" width="24" customWidth="1"/>
    <col min="5" max="5" width="15" customWidth="1"/>
    <col min="6" max="6" width="14" customWidth="1"/>
    <col min="7" max="7" width="15" customWidth="1"/>
    <col min="8" max="8" width="14" customWidth="1"/>
    <col min="9" max="9" width="18" customWidth="1"/>
    <col min="10" max="11" width="16" customWidth="1"/>
    <col min="12" max="12" width="15" customWidth="1"/>
    <col min="13" max="13" width="18" customWidth="1"/>
  </cols>
  <sheetData>
    <row r="1" spans="1:13" ht="36" customHeight="1">
      <c r="A1" s="4" t="s">
        <v>297</v>
      </c>
      <c r="B1" s="13"/>
      <c r="C1" s="13"/>
      <c r="D1" s="13"/>
      <c r="E1" s="13"/>
      <c r="F1" s="13"/>
      <c r="G1" s="13"/>
      <c r="H1" s="13"/>
      <c r="I1" s="13"/>
      <c r="J1" s="13"/>
      <c r="K1" s="13"/>
      <c r="L1" s="13"/>
      <c r="M1" s="13"/>
    </row>
    <row r="2" spans="1:13" ht="24" customHeight="1">
      <c r="A2" s="9" t="s">
        <v>298</v>
      </c>
      <c r="B2" s="14"/>
      <c r="C2" s="14"/>
      <c r="D2" s="14"/>
      <c r="E2" s="14"/>
      <c r="F2" s="14"/>
      <c r="G2" s="14"/>
      <c r="H2" s="14"/>
      <c r="I2" s="14"/>
      <c r="J2" s="14"/>
      <c r="K2" s="14"/>
      <c r="L2" s="14"/>
      <c r="M2" s="14"/>
    </row>
    <row r="3" spans="1:13" ht="8.1" customHeight="1"/>
    <row r="4" spans="1:13" ht="20.100000000000001" customHeight="1">
      <c r="A4" s="6" t="s">
        <v>299</v>
      </c>
      <c r="B4" s="15"/>
      <c r="C4" s="6" t="s">
        <v>300</v>
      </c>
      <c r="D4" s="15"/>
      <c r="E4" s="15"/>
      <c r="F4" s="6" t="s">
        <v>301</v>
      </c>
      <c r="G4" s="15"/>
      <c r="H4" s="15"/>
      <c r="I4" s="15"/>
      <c r="J4" s="6" t="s">
        <v>302</v>
      </c>
      <c r="K4" s="15"/>
      <c r="L4" s="15"/>
      <c r="M4" s="15"/>
    </row>
    <row r="5" spans="1:13" ht="33.950000000000003" customHeight="1">
      <c r="A5" s="5">
        <f>COUNTIF($J$11:$J$210,"Open")+COUNTIF($J$11:$J$210,"In progress")</f>
        <v>8</v>
      </c>
      <c r="B5" s="15"/>
      <c r="C5" s="5">
        <f>COUNTIF($H$11:$H$210,"Over limit")</f>
        <v>3</v>
      </c>
      <c r="D5" s="15"/>
      <c r="E5" s="15"/>
      <c r="F5" s="5">
        <f>COUNTIF($I$11:$I$210,"New requirement")</f>
        <v>3</v>
      </c>
      <c r="G5" s="15"/>
      <c r="H5" s="15"/>
      <c r="I5" s="15"/>
      <c r="J5" s="5">
        <f>COUNTIF($K$11:$K$210,"Pending")</f>
        <v>12</v>
      </c>
      <c r="K5" s="15"/>
      <c r="L5" s="15"/>
      <c r="M5" s="15"/>
    </row>
    <row r="6" spans="1:13" ht="9.9499999999999993" customHeight="1"/>
    <row r="7" spans="1:13" ht="21.95" customHeight="1">
      <c r="A7" s="8" t="s">
        <v>6</v>
      </c>
      <c r="B7" s="16"/>
      <c r="C7" s="16"/>
      <c r="D7" s="16"/>
      <c r="E7" s="16"/>
      <c r="F7" s="16"/>
      <c r="G7" s="16"/>
      <c r="H7" s="16"/>
      <c r="I7" s="16"/>
      <c r="J7" s="16"/>
      <c r="K7" s="16"/>
      <c r="L7" s="16"/>
      <c r="M7" s="16"/>
    </row>
    <row r="8" spans="1:13" ht="66" customHeight="1">
      <c r="A8" s="7" t="s">
        <v>303</v>
      </c>
      <c r="B8" s="14"/>
      <c r="C8" s="14"/>
      <c r="D8" s="14"/>
      <c r="E8" s="14"/>
      <c r="F8" s="14"/>
      <c r="G8" s="14"/>
      <c r="H8" s="14"/>
      <c r="I8" s="14"/>
      <c r="J8" s="14"/>
      <c r="K8" s="14"/>
      <c r="L8" s="14"/>
      <c r="M8" s="14"/>
    </row>
    <row r="9" spans="1:13" ht="12" customHeight="1"/>
    <row r="10" spans="1:13" ht="32.1" customHeight="1">
      <c r="A10" s="1" t="s">
        <v>304</v>
      </c>
      <c r="B10" s="1" t="s">
        <v>170</v>
      </c>
      <c r="C10" s="1" t="s">
        <v>90</v>
      </c>
      <c r="D10" s="1" t="s">
        <v>8</v>
      </c>
      <c r="E10" s="1" t="s">
        <v>305</v>
      </c>
      <c r="F10" s="1" t="s">
        <v>306</v>
      </c>
      <c r="G10" s="1" t="s">
        <v>307</v>
      </c>
      <c r="H10" s="1" t="s">
        <v>308</v>
      </c>
      <c r="I10" s="1" t="s">
        <v>309</v>
      </c>
      <c r="J10" s="1" t="s">
        <v>310</v>
      </c>
      <c r="K10" s="1" t="s">
        <v>264</v>
      </c>
      <c r="L10" s="1" t="s">
        <v>174</v>
      </c>
      <c r="M10" s="1" t="s">
        <v>10</v>
      </c>
    </row>
    <row r="11" spans="1:13">
      <c r="A11" s="2" t="s">
        <v>311</v>
      </c>
      <c r="B11" s="2" t="s">
        <v>177</v>
      </c>
      <c r="C11" s="2" t="s">
        <v>98</v>
      </c>
      <c r="D11" s="2" t="s">
        <v>17</v>
      </c>
      <c r="E11" s="3">
        <v>46274</v>
      </c>
      <c r="F11" s="2">
        <v>1</v>
      </c>
      <c r="G11" s="2">
        <v>2</v>
      </c>
      <c r="H11" s="2" t="str">
        <f>IF(OR(F11="",G11=""),"",IF(F11&gt;G11,"Over limit",IF(F11=G11,"Last round","Within limit")))</f>
        <v>Within limit</v>
      </c>
      <c r="I11" s="2" t="s">
        <v>312</v>
      </c>
      <c r="J11" s="2" t="s">
        <v>313</v>
      </c>
      <c r="K11" s="2" t="s">
        <v>168</v>
      </c>
      <c r="L11" s="3">
        <v>46276</v>
      </c>
      <c r="M11" s="2" t="s">
        <v>19</v>
      </c>
    </row>
    <row r="12" spans="1:13">
      <c r="A12" s="2" t="s">
        <v>314</v>
      </c>
      <c r="B12" s="2" t="s">
        <v>180</v>
      </c>
      <c r="C12" s="2" t="s">
        <v>98</v>
      </c>
      <c r="D12" s="2" t="s">
        <v>17</v>
      </c>
      <c r="E12" s="3">
        <v>46307</v>
      </c>
      <c r="F12" s="2">
        <v>1</v>
      </c>
      <c r="G12" s="2">
        <v>2</v>
      </c>
      <c r="H12" s="2" t="str">
        <f>IF(OR(F12="",G12=""),"",IF(F12&gt;G12,"Over limit",IF(F12=G12,"Last round","Within limit")))</f>
        <v>Within limit</v>
      </c>
      <c r="I12" s="2" t="s">
        <v>315</v>
      </c>
      <c r="J12" s="2" t="s">
        <v>85</v>
      </c>
      <c r="K12" s="2" t="s">
        <v>316</v>
      </c>
      <c r="L12" s="3"/>
      <c r="M12" s="2" t="s">
        <v>19</v>
      </c>
    </row>
    <row r="13" spans="1:13">
      <c r="A13" s="2" t="s">
        <v>317</v>
      </c>
      <c r="B13" s="2" t="s">
        <v>186</v>
      </c>
      <c r="C13" s="2" t="s">
        <v>101</v>
      </c>
      <c r="D13" s="2" t="s">
        <v>17</v>
      </c>
      <c r="E13" s="3">
        <v>46303</v>
      </c>
      <c r="F13" s="2">
        <v>1</v>
      </c>
      <c r="G13" s="2">
        <v>2</v>
      </c>
      <c r="H13" s="2" t="str">
        <f>IF(OR(F13="",G13=""),"",IF(F13&gt;G13,"Over limit",IF(F13=G13,"Last round","Within limit")))</f>
        <v>Within limit</v>
      </c>
      <c r="I13" s="2" t="s">
        <v>312</v>
      </c>
      <c r="J13" s="2" t="s">
        <v>313</v>
      </c>
      <c r="K13" s="2" t="s">
        <v>316</v>
      </c>
      <c r="L13" s="3"/>
      <c r="M13" s="2" t="s">
        <v>19</v>
      </c>
    </row>
    <row r="14" spans="1:13">
      <c r="A14" s="2" t="s">
        <v>318</v>
      </c>
      <c r="B14" s="2" t="s">
        <v>186</v>
      </c>
      <c r="C14" s="2" t="s">
        <v>101</v>
      </c>
      <c r="D14" s="2" t="s">
        <v>17</v>
      </c>
      <c r="E14" s="3">
        <v>46305</v>
      </c>
      <c r="F14" s="2">
        <v>2</v>
      </c>
      <c r="G14" s="2">
        <v>2</v>
      </c>
      <c r="H14" s="2" t="str">
        <f>IF(OR(F14="",G14=""),"",IF(F14&gt;G14,"Over limit",IF(F14=G14,"Last round","Within limit")))</f>
        <v>Last round</v>
      </c>
      <c r="I14" s="2" t="s">
        <v>319</v>
      </c>
      <c r="J14" s="2" t="s">
        <v>320</v>
      </c>
      <c r="K14" s="2" t="s">
        <v>316</v>
      </c>
      <c r="L14" s="3"/>
      <c r="M14" s="2" t="s">
        <v>19</v>
      </c>
    </row>
    <row r="15" spans="1:13">
      <c r="A15" s="2" t="s">
        <v>321</v>
      </c>
      <c r="B15" s="2" t="s">
        <v>193</v>
      </c>
      <c r="C15" s="2" t="s">
        <v>104</v>
      </c>
      <c r="D15" s="2" t="s">
        <v>23</v>
      </c>
      <c r="E15" s="3">
        <v>46284</v>
      </c>
      <c r="F15" s="2">
        <v>1</v>
      </c>
      <c r="G15" s="2">
        <v>3</v>
      </c>
      <c r="H15" s="2" t="str">
        <f>IF(OR(F15="",G15=""),"",IF(F15&gt;G15,"Over limit",IF(F15=G15,"Last round","Within limit")))</f>
        <v>Within limit</v>
      </c>
      <c r="I15" s="2" t="s">
        <v>315</v>
      </c>
      <c r="J15" s="2" t="s">
        <v>313</v>
      </c>
      <c r="K15" s="2" t="s">
        <v>168</v>
      </c>
      <c r="L15" s="3">
        <v>46289</v>
      </c>
      <c r="M15" s="2" t="s">
        <v>24</v>
      </c>
    </row>
    <row r="16" spans="1:13">
      <c r="A16" s="2" t="s">
        <v>322</v>
      </c>
      <c r="B16" s="2" t="s">
        <v>107</v>
      </c>
      <c r="C16" s="2" t="s">
        <v>106</v>
      </c>
      <c r="D16" s="2" t="s">
        <v>23</v>
      </c>
      <c r="E16" s="3">
        <v>46303</v>
      </c>
      <c r="F16" s="2">
        <v>1</v>
      </c>
      <c r="G16" s="2">
        <v>2</v>
      </c>
      <c r="H16" s="2" t="str">
        <f>IF(OR(F16="",G16=""),"",IF(F16&gt;G16,"Over limit",IF(F16=G16,"Last round","Within limit")))</f>
        <v>Within limit</v>
      </c>
      <c r="I16" s="2" t="s">
        <v>312</v>
      </c>
      <c r="J16" s="2" t="s">
        <v>313</v>
      </c>
      <c r="K16" s="2" t="s">
        <v>316</v>
      </c>
      <c r="L16" s="3"/>
      <c r="M16" s="2" t="s">
        <v>24</v>
      </c>
    </row>
    <row r="17" spans="1:13">
      <c r="A17" s="2" t="s">
        <v>323</v>
      </c>
      <c r="B17" s="2" t="s">
        <v>198</v>
      </c>
      <c r="C17" s="2" t="s">
        <v>110</v>
      </c>
      <c r="D17" s="2" t="s">
        <v>28</v>
      </c>
      <c r="E17" s="3">
        <v>46295</v>
      </c>
      <c r="F17" s="2">
        <v>2</v>
      </c>
      <c r="G17" s="2">
        <v>2</v>
      </c>
      <c r="H17" s="2" t="str">
        <f>IF(OR(F17="",G17=""),"",IF(F17&gt;G17,"Over limit",IF(F17=G17,"Last round","Within limit")))</f>
        <v>Last round</v>
      </c>
      <c r="I17" s="2" t="s">
        <v>312</v>
      </c>
      <c r="J17" s="2" t="s">
        <v>313</v>
      </c>
      <c r="K17" s="2" t="s">
        <v>324</v>
      </c>
      <c r="L17" s="3">
        <v>46300</v>
      </c>
      <c r="M17" s="2" t="s">
        <v>29</v>
      </c>
    </row>
    <row r="18" spans="1:13">
      <c r="A18" s="2" t="s">
        <v>325</v>
      </c>
      <c r="B18" s="2" t="s">
        <v>198</v>
      </c>
      <c r="C18" s="2" t="s">
        <v>110</v>
      </c>
      <c r="D18" s="2" t="s">
        <v>28</v>
      </c>
      <c r="E18" s="3">
        <v>46301</v>
      </c>
      <c r="F18" s="2">
        <v>3</v>
      </c>
      <c r="G18" s="2">
        <v>2</v>
      </c>
      <c r="H18" s="2" t="str">
        <f>IF(OR(F18="",G18=""),"",IF(F18&gt;G18,"Over limit",IF(F18=G18,"Last round","Within limit")))</f>
        <v>Over limit</v>
      </c>
      <c r="I18" s="2" t="s">
        <v>326</v>
      </c>
      <c r="J18" s="2" t="s">
        <v>327</v>
      </c>
      <c r="K18" s="2" t="s">
        <v>316</v>
      </c>
      <c r="L18" s="3"/>
      <c r="M18" s="2" t="s">
        <v>29</v>
      </c>
    </row>
    <row r="19" spans="1:13">
      <c r="A19" s="2" t="s">
        <v>328</v>
      </c>
      <c r="B19" s="2" t="s">
        <v>198</v>
      </c>
      <c r="C19" s="2" t="s">
        <v>110</v>
      </c>
      <c r="D19" s="2" t="s">
        <v>28</v>
      </c>
      <c r="E19" s="3">
        <v>46304</v>
      </c>
      <c r="F19" s="2">
        <v>4</v>
      </c>
      <c r="G19" s="2">
        <v>2</v>
      </c>
      <c r="H19" s="2" t="str">
        <f>IF(OR(F19="",G19=""),"",IF(F19&gt;G19,"Over limit",IF(F19=G19,"Last round","Within limit")))</f>
        <v>Over limit</v>
      </c>
      <c r="I19" s="2" t="s">
        <v>329</v>
      </c>
      <c r="J19" s="2" t="s">
        <v>327</v>
      </c>
      <c r="K19" s="2" t="s">
        <v>316</v>
      </c>
      <c r="L19" s="3"/>
      <c r="M19" s="2" t="s">
        <v>29</v>
      </c>
    </row>
    <row r="20" spans="1:13">
      <c r="A20" s="2" t="s">
        <v>330</v>
      </c>
      <c r="B20" s="2" t="s">
        <v>206</v>
      </c>
      <c r="C20" s="2" t="s">
        <v>120</v>
      </c>
      <c r="D20" s="2" t="s">
        <v>38</v>
      </c>
      <c r="E20" s="3">
        <v>46305</v>
      </c>
      <c r="F20" s="2">
        <v>1</v>
      </c>
      <c r="G20" s="2">
        <v>2</v>
      </c>
      <c r="H20" s="2" t="str">
        <f>IF(OR(F20="",G20=""),"",IF(F20&gt;G20,"Over limit",IF(F20=G20,"Last round","Within limit")))</f>
        <v>Within limit</v>
      </c>
      <c r="I20" s="2" t="s">
        <v>312</v>
      </c>
      <c r="J20" s="2" t="s">
        <v>85</v>
      </c>
      <c r="K20" s="2" t="s">
        <v>316</v>
      </c>
      <c r="L20" s="3"/>
      <c r="M20" s="2" t="s">
        <v>19</v>
      </c>
    </row>
    <row r="21" spans="1:13">
      <c r="A21" s="2" t="s">
        <v>331</v>
      </c>
      <c r="B21" s="2" t="s">
        <v>209</v>
      </c>
      <c r="C21" s="2" t="s">
        <v>120</v>
      </c>
      <c r="D21" s="2" t="s">
        <v>38</v>
      </c>
      <c r="E21" s="3">
        <v>46289</v>
      </c>
      <c r="F21" s="2">
        <v>1</v>
      </c>
      <c r="G21" s="2">
        <v>1</v>
      </c>
      <c r="H21" s="2" t="str">
        <f>IF(OR(F21="",G21=""),"",IF(F21&gt;G21,"Over limit",IF(F21=G21,"Last round","Within limit")))</f>
        <v>Last round</v>
      </c>
      <c r="I21" s="2" t="s">
        <v>312</v>
      </c>
      <c r="J21" s="2" t="s">
        <v>313</v>
      </c>
      <c r="K21" s="2" t="s">
        <v>168</v>
      </c>
      <c r="L21" s="3">
        <v>46294</v>
      </c>
      <c r="M21" s="2" t="s">
        <v>19</v>
      </c>
    </row>
    <row r="22" spans="1:13">
      <c r="A22" s="2" t="s">
        <v>332</v>
      </c>
      <c r="B22" s="2" t="s">
        <v>213</v>
      </c>
      <c r="C22" s="2" t="s">
        <v>130</v>
      </c>
      <c r="D22" s="2" t="s">
        <v>48</v>
      </c>
      <c r="E22" s="3">
        <v>46273</v>
      </c>
      <c r="F22" s="2">
        <v>1</v>
      </c>
      <c r="G22" s="2">
        <v>2</v>
      </c>
      <c r="H22" s="2" t="str">
        <f>IF(OR(F22="",G22=""),"",IF(F22&gt;G22,"Over limit",IF(F22=G22,"Last round","Within limit")))</f>
        <v>Within limit</v>
      </c>
      <c r="I22" s="2" t="s">
        <v>315</v>
      </c>
      <c r="J22" s="2" t="s">
        <v>313</v>
      </c>
      <c r="K22" s="2" t="s">
        <v>168</v>
      </c>
      <c r="L22" s="3">
        <v>46275</v>
      </c>
      <c r="M22" s="2" t="s">
        <v>35</v>
      </c>
    </row>
    <row r="23" spans="1:13">
      <c r="A23" s="2" t="s">
        <v>333</v>
      </c>
      <c r="B23" s="2" t="s">
        <v>215</v>
      </c>
      <c r="C23" s="2" t="s">
        <v>130</v>
      </c>
      <c r="D23" s="2" t="s">
        <v>48</v>
      </c>
      <c r="E23" s="3">
        <v>46287</v>
      </c>
      <c r="F23" s="2">
        <v>1</v>
      </c>
      <c r="G23" s="2">
        <v>2</v>
      </c>
      <c r="H23" s="2" t="str">
        <f>IF(OR(F23="",G23=""),"",IF(F23&gt;G23,"Over limit",IF(F23=G23,"Last round","Within limit")))</f>
        <v>Within limit</v>
      </c>
      <c r="I23" s="2" t="s">
        <v>312</v>
      </c>
      <c r="J23" s="2" t="s">
        <v>313</v>
      </c>
      <c r="K23" s="2" t="s">
        <v>168</v>
      </c>
      <c r="L23" s="3">
        <v>46290</v>
      </c>
      <c r="M23" s="2" t="s">
        <v>35</v>
      </c>
    </row>
    <row r="24" spans="1:13">
      <c r="A24" s="2" t="s">
        <v>334</v>
      </c>
      <c r="B24" s="2" t="s">
        <v>217</v>
      </c>
      <c r="C24" s="2" t="s">
        <v>135</v>
      </c>
      <c r="D24" s="2" t="s">
        <v>52</v>
      </c>
      <c r="E24" s="3">
        <v>46306</v>
      </c>
      <c r="F24" s="2">
        <v>1</v>
      </c>
      <c r="G24" s="2">
        <v>2</v>
      </c>
      <c r="H24" s="2" t="str">
        <f>IF(OR(F24="",G24=""),"",IF(F24&gt;G24,"Over limit",IF(F24=G24,"Last round","Within limit")))</f>
        <v>Within limit</v>
      </c>
      <c r="I24" s="2" t="s">
        <v>315</v>
      </c>
      <c r="J24" s="2" t="s">
        <v>85</v>
      </c>
      <c r="K24" s="2" t="s">
        <v>316</v>
      </c>
      <c r="L24" s="3"/>
      <c r="M24" s="2" t="s">
        <v>24</v>
      </c>
    </row>
    <row r="25" spans="1:13">
      <c r="A25" s="2" t="s">
        <v>335</v>
      </c>
      <c r="B25" s="2" t="s">
        <v>139</v>
      </c>
      <c r="C25" s="2" t="s">
        <v>138</v>
      </c>
      <c r="D25" s="2" t="s">
        <v>55</v>
      </c>
      <c r="E25" s="3">
        <v>46299</v>
      </c>
      <c r="F25" s="2">
        <v>1</v>
      </c>
      <c r="G25" s="2">
        <v>2</v>
      </c>
      <c r="H25" s="2" t="str">
        <f>IF(OR(F25="",G25=""),"",IF(F25&gt;G25,"Over limit",IF(F25=G25,"Last round","Within limit")))</f>
        <v>Within limit</v>
      </c>
      <c r="I25" s="2" t="s">
        <v>312</v>
      </c>
      <c r="J25" s="2" t="s">
        <v>313</v>
      </c>
      <c r="K25" s="2" t="s">
        <v>168</v>
      </c>
      <c r="L25" s="3">
        <v>46302</v>
      </c>
      <c r="M25" s="2" t="s">
        <v>35</v>
      </c>
    </row>
    <row r="26" spans="1:13">
      <c r="A26" s="2" t="s">
        <v>336</v>
      </c>
      <c r="B26" s="2" t="s">
        <v>139</v>
      </c>
      <c r="C26" s="2" t="s">
        <v>138</v>
      </c>
      <c r="D26" s="2" t="s">
        <v>55</v>
      </c>
      <c r="E26" s="3">
        <v>46304</v>
      </c>
      <c r="F26" s="2">
        <v>2</v>
      </c>
      <c r="G26" s="2">
        <v>2</v>
      </c>
      <c r="H26" s="2" t="str">
        <f>IF(OR(F26="",G26=""),"",IF(F26&gt;G26,"Over limit",IF(F26=G26,"Last round","Within limit")))</f>
        <v>Last round</v>
      </c>
      <c r="I26" s="2" t="s">
        <v>312</v>
      </c>
      <c r="J26" s="2" t="s">
        <v>85</v>
      </c>
      <c r="K26" s="2" t="s">
        <v>316</v>
      </c>
      <c r="L26" s="3"/>
      <c r="M26" s="2" t="s">
        <v>35</v>
      </c>
    </row>
    <row r="27" spans="1:13">
      <c r="A27" s="2" t="s">
        <v>337</v>
      </c>
      <c r="B27" s="2" t="s">
        <v>227</v>
      </c>
      <c r="C27" s="2" t="s">
        <v>147</v>
      </c>
      <c r="D27" s="2" t="s">
        <v>64</v>
      </c>
      <c r="E27" s="3">
        <v>46293</v>
      </c>
      <c r="F27" s="2">
        <v>1</v>
      </c>
      <c r="G27" s="2">
        <v>2</v>
      </c>
      <c r="H27" s="2" t="str">
        <f>IF(OR(F27="",G27=""),"",IF(F27&gt;G27,"Over limit",IF(F27=G27,"Last round","Within limit")))</f>
        <v>Within limit</v>
      </c>
      <c r="I27" s="2" t="s">
        <v>312</v>
      </c>
      <c r="J27" s="2" t="s">
        <v>313</v>
      </c>
      <c r="K27" s="2" t="s">
        <v>168</v>
      </c>
      <c r="L27" s="3">
        <v>46296</v>
      </c>
      <c r="M27" s="2" t="s">
        <v>24</v>
      </c>
    </row>
    <row r="28" spans="1:13">
      <c r="A28" s="2" t="s">
        <v>338</v>
      </c>
      <c r="B28" s="2" t="s">
        <v>227</v>
      </c>
      <c r="C28" s="2" t="s">
        <v>147</v>
      </c>
      <c r="D28" s="2" t="s">
        <v>64</v>
      </c>
      <c r="E28" s="3">
        <v>46300</v>
      </c>
      <c r="F28" s="2">
        <v>2</v>
      </c>
      <c r="G28" s="2">
        <v>2</v>
      </c>
      <c r="H28" s="2" t="str">
        <f>IF(OR(F28="",G28=""),"",IF(F28&gt;G28,"Over limit",IF(F28=G28,"Last round","Within limit")))</f>
        <v>Last round</v>
      </c>
      <c r="I28" s="2" t="s">
        <v>319</v>
      </c>
      <c r="J28" s="2" t="s">
        <v>320</v>
      </c>
      <c r="K28" s="2" t="s">
        <v>316</v>
      </c>
      <c r="L28" s="3"/>
      <c r="M28" s="2" t="s">
        <v>24</v>
      </c>
    </row>
    <row r="29" spans="1:13">
      <c r="A29" s="2" t="s">
        <v>339</v>
      </c>
      <c r="B29" s="2" t="s">
        <v>227</v>
      </c>
      <c r="C29" s="2" t="s">
        <v>147</v>
      </c>
      <c r="D29" s="2" t="s">
        <v>64</v>
      </c>
      <c r="E29" s="3">
        <v>46307</v>
      </c>
      <c r="F29" s="2">
        <v>3</v>
      </c>
      <c r="G29" s="2">
        <v>2</v>
      </c>
      <c r="H29" s="2" t="str">
        <f>IF(OR(F29="",G29=""),"",IF(F29&gt;G29,"Over limit",IF(F29=G29,"Last round","Within limit")))</f>
        <v>Over limit</v>
      </c>
      <c r="I29" s="2" t="s">
        <v>319</v>
      </c>
      <c r="J29" s="2" t="s">
        <v>327</v>
      </c>
      <c r="K29" s="2" t="s">
        <v>316</v>
      </c>
      <c r="L29" s="3"/>
      <c r="M29" s="2" t="s">
        <v>24</v>
      </c>
    </row>
    <row r="30" spans="1:13">
      <c r="A30" s="2" t="s">
        <v>340</v>
      </c>
      <c r="B30" s="2" t="s">
        <v>235</v>
      </c>
      <c r="C30" s="2" t="s">
        <v>156</v>
      </c>
      <c r="D30" s="2" t="s">
        <v>73</v>
      </c>
      <c r="E30" s="3">
        <v>46298</v>
      </c>
      <c r="F30" s="2">
        <v>1</v>
      </c>
      <c r="G30" s="2">
        <v>2</v>
      </c>
      <c r="H30" s="2" t="str">
        <f>IF(OR(F30="",G30=""),"",IF(F30&gt;G30,"Over limit",IF(F30=G30,"Last round","Within limit")))</f>
        <v>Within limit</v>
      </c>
      <c r="I30" s="2" t="s">
        <v>312</v>
      </c>
      <c r="J30" s="2" t="s">
        <v>313</v>
      </c>
      <c r="K30" s="2" t="s">
        <v>168</v>
      </c>
      <c r="L30" s="3">
        <v>46301</v>
      </c>
      <c r="M30" s="2" t="s">
        <v>29</v>
      </c>
    </row>
    <row r="31" spans="1:13">
      <c r="A31" s="2" t="s">
        <v>341</v>
      </c>
      <c r="B31" s="2" t="s">
        <v>235</v>
      </c>
      <c r="C31" s="2" t="s">
        <v>156</v>
      </c>
      <c r="D31" s="2" t="s">
        <v>73</v>
      </c>
      <c r="E31" s="3">
        <v>46302</v>
      </c>
      <c r="F31" s="2">
        <v>2</v>
      </c>
      <c r="G31" s="2">
        <v>2</v>
      </c>
      <c r="H31" s="2" t="str">
        <f>IF(OR(F31="",G31=""),"",IF(F31&gt;G31,"Over limit",IF(F31=G31,"Last round","Within limit")))</f>
        <v>Last round</v>
      </c>
      <c r="I31" s="2" t="s">
        <v>312</v>
      </c>
      <c r="J31" s="2" t="s">
        <v>313</v>
      </c>
      <c r="K31" s="2" t="s">
        <v>168</v>
      </c>
      <c r="L31" s="3">
        <v>46303</v>
      </c>
      <c r="M31" s="2" t="s">
        <v>29</v>
      </c>
    </row>
    <row r="32" spans="1:13">
      <c r="A32" s="2" t="s">
        <v>342</v>
      </c>
      <c r="B32" s="2" t="s">
        <v>154</v>
      </c>
      <c r="C32" s="2" t="s">
        <v>153</v>
      </c>
      <c r="D32" s="2" t="s">
        <v>70</v>
      </c>
      <c r="E32" s="3">
        <v>46275</v>
      </c>
      <c r="F32" s="2">
        <v>1</v>
      </c>
      <c r="G32" s="2">
        <v>2</v>
      </c>
      <c r="H32" s="2" t="str">
        <f>IF(OR(F32="",G32=""),"",IF(F32&gt;G32,"Over limit",IF(F32=G32,"Last round","Within limit")))</f>
        <v>Within limit</v>
      </c>
      <c r="I32" s="2" t="s">
        <v>329</v>
      </c>
      <c r="J32" s="2" t="s">
        <v>327</v>
      </c>
      <c r="K32" s="2" t="s">
        <v>316</v>
      </c>
      <c r="L32" s="3"/>
      <c r="M32" s="2" t="s">
        <v>19</v>
      </c>
    </row>
    <row r="33" spans="1:13">
      <c r="A33" s="2" t="s">
        <v>343</v>
      </c>
      <c r="B33" s="2" t="s">
        <v>163</v>
      </c>
      <c r="C33" s="2" t="s">
        <v>162</v>
      </c>
      <c r="D33" s="2" t="s">
        <v>79</v>
      </c>
      <c r="E33" s="3">
        <v>46252</v>
      </c>
      <c r="F33" s="2">
        <v>1</v>
      </c>
      <c r="G33" s="2">
        <v>2</v>
      </c>
      <c r="H33" s="2" t="str">
        <f>IF(OR(F33="",G33=""),"",IF(F33&gt;G33,"Over limit",IF(F33=G33,"Last round","Within limit")))</f>
        <v>Within limit</v>
      </c>
      <c r="I33" s="2" t="s">
        <v>315</v>
      </c>
      <c r="J33" s="2" t="s">
        <v>313</v>
      </c>
      <c r="K33" s="2" t="s">
        <v>168</v>
      </c>
      <c r="L33" s="3">
        <v>46255</v>
      </c>
      <c r="M33" s="2" t="s">
        <v>35</v>
      </c>
    </row>
    <row r="34" spans="1:13">
      <c r="A34" s="2"/>
      <c r="B34" s="2"/>
      <c r="C34" s="2"/>
      <c r="D34" s="2"/>
      <c r="E34" s="3"/>
      <c r="F34" s="2"/>
      <c r="G34" s="2"/>
      <c r="H34" s="2" t="str">
        <f>IF(OR(F34="",G34=""),"",IF(F34&gt;G34,"Over limit",IF(F34=G34,"Last round","Within limit")))</f>
        <v/>
      </c>
      <c r="I34" s="2"/>
      <c r="J34" s="2"/>
      <c r="K34" s="2"/>
      <c r="L34" s="3"/>
      <c r="M34" s="2"/>
    </row>
    <row r="35" spans="1:13">
      <c r="A35" s="2"/>
      <c r="B35" s="2"/>
      <c r="C35" s="2"/>
      <c r="D35" s="2"/>
      <c r="E35" s="3"/>
      <c r="F35" s="2"/>
      <c r="G35" s="2"/>
      <c r="H35" s="2" t="str">
        <f>IF(OR(F35="",G35=""),"",IF(F35&gt;G35,"Over limit",IF(F35=G35,"Last round","Within limit")))</f>
        <v/>
      </c>
      <c r="I35" s="2"/>
      <c r="J35" s="2"/>
      <c r="K35" s="2"/>
      <c r="L35" s="3"/>
      <c r="M35" s="2"/>
    </row>
    <row r="36" spans="1:13">
      <c r="A36" s="2"/>
      <c r="B36" s="2"/>
      <c r="C36" s="2"/>
      <c r="D36" s="2"/>
      <c r="E36" s="3"/>
      <c r="F36" s="2"/>
      <c r="G36" s="2"/>
      <c r="H36" s="2" t="str">
        <f>IF(OR(F36="",G36=""),"",IF(F36&gt;G36,"Over limit",IF(F36=G36,"Last round","Within limit")))</f>
        <v/>
      </c>
      <c r="I36" s="2"/>
      <c r="J36" s="2"/>
      <c r="K36" s="2"/>
      <c r="L36" s="3"/>
      <c r="M36" s="2"/>
    </row>
    <row r="37" spans="1:13">
      <c r="A37" s="2"/>
      <c r="B37" s="2"/>
      <c r="C37" s="2"/>
      <c r="D37" s="2"/>
      <c r="E37" s="3"/>
      <c r="F37" s="2"/>
      <c r="G37" s="2"/>
      <c r="H37" s="2" t="str">
        <f>IF(OR(F37="",G37=""),"",IF(F37&gt;G37,"Over limit",IF(F37=G37,"Last round","Within limit")))</f>
        <v/>
      </c>
      <c r="I37" s="2"/>
      <c r="J37" s="2"/>
      <c r="K37" s="2"/>
      <c r="L37" s="3"/>
      <c r="M37" s="2"/>
    </row>
    <row r="38" spans="1:13">
      <c r="A38" s="2"/>
      <c r="B38" s="2"/>
      <c r="C38" s="2"/>
      <c r="D38" s="2"/>
      <c r="E38" s="3"/>
      <c r="F38" s="2"/>
      <c r="G38" s="2"/>
      <c r="H38" s="2" t="str">
        <f>IF(OR(F38="",G38=""),"",IF(F38&gt;G38,"Over limit",IF(F38=G38,"Last round","Within limit")))</f>
        <v/>
      </c>
      <c r="I38" s="2"/>
      <c r="J38" s="2"/>
      <c r="K38" s="2"/>
      <c r="L38" s="3"/>
      <c r="M38" s="2"/>
    </row>
    <row r="39" spans="1:13">
      <c r="A39" s="2"/>
      <c r="B39" s="2"/>
      <c r="C39" s="2"/>
      <c r="D39" s="2"/>
      <c r="E39" s="3"/>
      <c r="F39" s="2"/>
      <c r="G39" s="2"/>
      <c r="H39" s="2" t="str">
        <f>IF(OR(F39="",G39=""),"",IF(F39&gt;G39,"Over limit",IF(F39=G39,"Last round","Within limit")))</f>
        <v/>
      </c>
      <c r="I39" s="2"/>
      <c r="J39" s="2"/>
      <c r="K39" s="2"/>
      <c r="L39" s="3"/>
      <c r="M39" s="2"/>
    </row>
    <row r="40" spans="1:13">
      <c r="A40" s="2"/>
      <c r="B40" s="2"/>
      <c r="C40" s="2"/>
      <c r="D40" s="2"/>
      <c r="E40" s="3"/>
      <c r="F40" s="2"/>
      <c r="G40" s="2"/>
      <c r="H40" s="2" t="str">
        <f>IF(OR(F40="",G40=""),"",IF(F40&gt;G40,"Over limit",IF(F40=G40,"Last round","Within limit")))</f>
        <v/>
      </c>
      <c r="I40" s="2"/>
      <c r="J40" s="2"/>
      <c r="K40" s="2"/>
      <c r="L40" s="3"/>
      <c r="M40" s="2"/>
    </row>
    <row r="41" spans="1:13">
      <c r="A41" s="2"/>
      <c r="B41" s="2"/>
      <c r="C41" s="2"/>
      <c r="D41" s="2"/>
      <c r="E41" s="3"/>
      <c r="F41" s="2"/>
      <c r="G41" s="2"/>
      <c r="H41" s="2" t="str">
        <f>IF(OR(F41="",G41=""),"",IF(F41&gt;G41,"Over limit",IF(F41=G41,"Last round","Within limit")))</f>
        <v/>
      </c>
      <c r="I41" s="2"/>
      <c r="J41" s="2"/>
      <c r="K41" s="2"/>
      <c r="L41" s="3"/>
      <c r="M41" s="2"/>
    </row>
    <row r="42" spans="1:13">
      <c r="A42" s="2"/>
      <c r="B42" s="2"/>
      <c r="C42" s="2"/>
      <c r="D42" s="2"/>
      <c r="E42" s="3"/>
      <c r="F42" s="2"/>
      <c r="G42" s="2"/>
      <c r="H42" s="2" t="str">
        <f>IF(OR(F42="",G42=""),"",IF(F42&gt;G42,"Over limit",IF(F42=G42,"Last round","Within limit")))</f>
        <v/>
      </c>
      <c r="I42" s="2"/>
      <c r="J42" s="2"/>
      <c r="K42" s="2"/>
      <c r="L42" s="3"/>
      <c r="M42" s="2"/>
    </row>
    <row r="43" spans="1:13">
      <c r="A43" s="2"/>
      <c r="B43" s="2"/>
      <c r="C43" s="2"/>
      <c r="D43" s="2"/>
      <c r="E43" s="3"/>
      <c r="F43" s="2"/>
      <c r="G43" s="2"/>
      <c r="H43" s="2" t="str">
        <f>IF(OR(F43="",G43=""),"",IF(F43&gt;G43,"Over limit",IF(F43=G43,"Last round","Within limit")))</f>
        <v/>
      </c>
      <c r="I43" s="2"/>
      <c r="J43" s="2"/>
      <c r="K43" s="2"/>
      <c r="L43" s="3"/>
      <c r="M43" s="2"/>
    </row>
    <row r="44" spans="1:13">
      <c r="A44" s="2"/>
      <c r="B44" s="2"/>
      <c r="C44" s="2"/>
      <c r="D44" s="2"/>
      <c r="E44" s="3"/>
      <c r="F44" s="2"/>
      <c r="G44" s="2"/>
      <c r="H44" s="2" t="str">
        <f>IF(OR(F44="",G44=""),"",IF(F44&gt;G44,"Over limit",IF(F44=G44,"Last round","Within limit")))</f>
        <v/>
      </c>
      <c r="I44" s="2"/>
      <c r="J44" s="2"/>
      <c r="K44" s="2"/>
      <c r="L44" s="3"/>
      <c r="M44" s="2"/>
    </row>
    <row r="45" spans="1:13">
      <c r="A45" s="2"/>
      <c r="B45" s="2"/>
      <c r="C45" s="2"/>
      <c r="D45" s="2"/>
      <c r="E45" s="3"/>
      <c r="F45" s="2"/>
      <c r="G45" s="2"/>
      <c r="H45" s="2" t="str">
        <f>IF(OR(F45="",G45=""),"",IF(F45&gt;G45,"Over limit",IF(F45=G45,"Last round","Within limit")))</f>
        <v/>
      </c>
      <c r="I45" s="2"/>
      <c r="J45" s="2"/>
      <c r="K45" s="2"/>
      <c r="L45" s="3"/>
      <c r="M45" s="2"/>
    </row>
    <row r="46" spans="1:13">
      <c r="A46" s="2"/>
      <c r="B46" s="2"/>
      <c r="C46" s="2"/>
      <c r="D46" s="2"/>
      <c r="E46" s="3"/>
      <c r="F46" s="2"/>
      <c r="G46" s="2"/>
      <c r="H46" s="2" t="str">
        <f>IF(OR(F46="",G46=""),"",IF(F46&gt;G46,"Over limit",IF(F46=G46,"Last round","Within limit")))</f>
        <v/>
      </c>
      <c r="I46" s="2"/>
      <c r="J46" s="2"/>
      <c r="K46" s="2"/>
      <c r="L46" s="3"/>
      <c r="M46" s="2"/>
    </row>
    <row r="47" spans="1:13">
      <c r="A47" s="2"/>
      <c r="B47" s="2"/>
      <c r="C47" s="2"/>
      <c r="D47" s="2"/>
      <c r="E47" s="3"/>
      <c r="F47" s="2"/>
      <c r="G47" s="2"/>
      <c r="H47" s="2" t="str">
        <f>IF(OR(F47="",G47=""),"",IF(F47&gt;G47,"Over limit",IF(F47=G47,"Last round","Within limit")))</f>
        <v/>
      </c>
      <c r="I47" s="2"/>
      <c r="J47" s="2"/>
      <c r="K47" s="2"/>
      <c r="L47" s="3"/>
      <c r="M47" s="2"/>
    </row>
    <row r="48" spans="1:13">
      <c r="A48" s="2"/>
      <c r="B48" s="2"/>
      <c r="C48" s="2"/>
      <c r="D48" s="2"/>
      <c r="E48" s="3"/>
      <c r="F48" s="2"/>
      <c r="G48" s="2"/>
      <c r="H48" s="2" t="str">
        <f>IF(OR(F48="",G48=""),"",IF(F48&gt;G48,"Over limit",IF(F48=G48,"Last round","Within limit")))</f>
        <v/>
      </c>
      <c r="I48" s="2"/>
      <c r="J48" s="2"/>
      <c r="K48" s="2"/>
      <c r="L48" s="3"/>
      <c r="M48" s="2"/>
    </row>
    <row r="49" spans="1:13">
      <c r="A49" s="2"/>
      <c r="B49" s="2"/>
      <c r="C49" s="2"/>
      <c r="D49" s="2"/>
      <c r="E49" s="3"/>
      <c r="F49" s="2"/>
      <c r="G49" s="2"/>
      <c r="H49" s="2" t="str">
        <f>IF(OR(F49="",G49=""),"",IF(F49&gt;G49,"Over limit",IF(F49=G49,"Last round","Within limit")))</f>
        <v/>
      </c>
      <c r="I49" s="2"/>
      <c r="J49" s="2"/>
      <c r="K49" s="2"/>
      <c r="L49" s="3"/>
      <c r="M49" s="2"/>
    </row>
    <row r="50" spans="1:13">
      <c r="A50" s="2"/>
      <c r="B50" s="2"/>
      <c r="C50" s="2"/>
      <c r="D50" s="2"/>
      <c r="E50" s="3"/>
      <c r="F50" s="2"/>
      <c r="G50" s="2"/>
      <c r="H50" s="2" t="str">
        <f>IF(OR(F50="",G50=""),"",IF(F50&gt;G50,"Over limit",IF(F50=G50,"Last round","Within limit")))</f>
        <v/>
      </c>
      <c r="I50" s="2"/>
      <c r="J50" s="2"/>
      <c r="K50" s="2"/>
      <c r="L50" s="3"/>
      <c r="M50" s="2"/>
    </row>
    <row r="51" spans="1:13">
      <c r="A51" s="2"/>
      <c r="B51" s="2"/>
      <c r="C51" s="2"/>
      <c r="D51" s="2"/>
      <c r="E51" s="3"/>
      <c r="F51" s="2"/>
      <c r="G51" s="2"/>
      <c r="H51" s="2" t="str">
        <f>IF(OR(F51="",G51=""),"",IF(F51&gt;G51,"Over limit",IF(F51=G51,"Last round","Within limit")))</f>
        <v/>
      </c>
      <c r="I51" s="2"/>
      <c r="J51" s="2"/>
      <c r="K51" s="2"/>
      <c r="L51" s="3"/>
      <c r="M51" s="2"/>
    </row>
    <row r="52" spans="1:13">
      <c r="A52" s="2"/>
      <c r="B52" s="2"/>
      <c r="C52" s="2"/>
      <c r="D52" s="2"/>
      <c r="E52" s="3"/>
      <c r="F52" s="2"/>
      <c r="G52" s="2"/>
      <c r="H52" s="2" t="str">
        <f>IF(OR(F52="",G52=""),"",IF(F52&gt;G52,"Over limit",IF(F52=G52,"Last round","Within limit")))</f>
        <v/>
      </c>
      <c r="I52" s="2"/>
      <c r="J52" s="2"/>
      <c r="K52" s="2"/>
      <c r="L52" s="3"/>
      <c r="M52" s="2"/>
    </row>
    <row r="53" spans="1:13">
      <c r="A53" s="2"/>
      <c r="B53" s="2"/>
      <c r="C53" s="2"/>
      <c r="D53" s="2"/>
      <c r="E53" s="3"/>
      <c r="F53" s="2"/>
      <c r="G53" s="2"/>
      <c r="H53" s="2" t="str">
        <f>IF(OR(F53="",G53=""),"",IF(F53&gt;G53,"Over limit",IF(F53=G53,"Last round","Within limit")))</f>
        <v/>
      </c>
      <c r="I53" s="2"/>
      <c r="J53" s="2"/>
      <c r="K53" s="2"/>
      <c r="L53" s="3"/>
      <c r="M53" s="2"/>
    </row>
    <row r="54" spans="1:13">
      <c r="A54" s="2"/>
      <c r="B54" s="2"/>
      <c r="C54" s="2"/>
      <c r="D54" s="2"/>
      <c r="E54" s="3"/>
      <c r="F54" s="2"/>
      <c r="G54" s="2"/>
      <c r="H54" s="2" t="str">
        <f>IF(OR(F54="",G54=""),"",IF(F54&gt;G54,"Over limit",IF(F54=G54,"Last round","Within limit")))</f>
        <v/>
      </c>
      <c r="I54" s="2"/>
      <c r="J54" s="2"/>
      <c r="K54" s="2"/>
      <c r="L54" s="3"/>
      <c r="M54" s="2"/>
    </row>
    <row r="55" spans="1:13">
      <c r="A55" s="2"/>
      <c r="B55" s="2"/>
      <c r="C55" s="2"/>
      <c r="D55" s="2"/>
      <c r="E55" s="3"/>
      <c r="F55" s="2"/>
      <c r="G55" s="2"/>
      <c r="H55" s="2" t="str">
        <f>IF(OR(F55="",G55=""),"",IF(F55&gt;G55,"Over limit",IF(F55=G55,"Last round","Within limit")))</f>
        <v/>
      </c>
      <c r="I55" s="2"/>
      <c r="J55" s="2"/>
      <c r="K55" s="2"/>
      <c r="L55" s="3"/>
      <c r="M55" s="2"/>
    </row>
    <row r="56" spans="1:13">
      <c r="A56" s="2"/>
      <c r="B56" s="2"/>
      <c r="C56" s="2"/>
      <c r="D56" s="2"/>
      <c r="E56" s="3"/>
      <c r="F56" s="2"/>
      <c r="G56" s="2"/>
      <c r="H56" s="2" t="str">
        <f>IF(OR(F56="",G56=""),"",IF(F56&gt;G56,"Over limit",IF(F56=G56,"Last round","Within limit")))</f>
        <v/>
      </c>
      <c r="I56" s="2"/>
      <c r="J56" s="2"/>
      <c r="K56" s="2"/>
      <c r="L56" s="3"/>
      <c r="M56" s="2"/>
    </row>
    <row r="57" spans="1:13">
      <c r="A57" s="2"/>
      <c r="B57" s="2"/>
      <c r="C57" s="2"/>
      <c r="D57" s="2"/>
      <c r="E57" s="3"/>
      <c r="F57" s="2"/>
      <c r="G57" s="2"/>
      <c r="H57" s="2" t="str">
        <f>IF(OR(F57="",G57=""),"",IF(F57&gt;G57,"Over limit",IF(F57=G57,"Last round","Within limit")))</f>
        <v/>
      </c>
      <c r="I57" s="2"/>
      <c r="J57" s="2"/>
      <c r="K57" s="2"/>
      <c r="L57" s="3"/>
      <c r="M57" s="2"/>
    </row>
    <row r="58" spans="1:13">
      <c r="A58" s="2"/>
      <c r="B58" s="2"/>
      <c r="C58" s="2"/>
      <c r="D58" s="2"/>
      <c r="E58" s="3"/>
      <c r="F58" s="2"/>
      <c r="G58" s="2"/>
      <c r="H58" s="2" t="str">
        <f>IF(OR(F58="",G58=""),"",IF(F58&gt;G58,"Over limit",IF(F58=G58,"Last round","Within limit")))</f>
        <v/>
      </c>
      <c r="I58" s="2"/>
      <c r="J58" s="2"/>
      <c r="K58" s="2"/>
      <c r="L58" s="3"/>
      <c r="M58" s="2"/>
    </row>
    <row r="59" spans="1:13">
      <c r="A59" s="2"/>
      <c r="B59" s="2"/>
      <c r="C59" s="2"/>
      <c r="D59" s="2"/>
      <c r="E59" s="3"/>
      <c r="F59" s="2"/>
      <c r="G59" s="2"/>
      <c r="H59" s="2" t="str">
        <f>IF(OR(F59="",G59=""),"",IF(F59&gt;G59,"Over limit",IF(F59=G59,"Last round","Within limit")))</f>
        <v/>
      </c>
      <c r="I59" s="2"/>
      <c r="J59" s="2"/>
      <c r="K59" s="2"/>
      <c r="L59" s="3"/>
      <c r="M59" s="2"/>
    </row>
    <row r="60" spans="1:13">
      <c r="A60" s="2"/>
      <c r="B60" s="2"/>
      <c r="C60" s="2"/>
      <c r="D60" s="2"/>
      <c r="E60" s="3"/>
      <c r="F60" s="2"/>
      <c r="G60" s="2"/>
      <c r="H60" s="2" t="str">
        <f>IF(OR(F60="",G60=""),"",IF(F60&gt;G60,"Over limit",IF(F60=G60,"Last round","Within limit")))</f>
        <v/>
      </c>
      <c r="I60" s="2"/>
      <c r="J60" s="2"/>
      <c r="K60" s="2"/>
      <c r="L60" s="3"/>
      <c r="M60" s="2"/>
    </row>
    <row r="61" spans="1:13">
      <c r="A61" s="2"/>
      <c r="B61" s="2"/>
      <c r="C61" s="2"/>
      <c r="D61" s="2"/>
      <c r="E61" s="3"/>
      <c r="F61" s="2"/>
      <c r="G61" s="2"/>
      <c r="H61" s="2" t="str">
        <f>IF(OR(F61="",G61=""),"",IF(F61&gt;G61,"Over limit",IF(F61=G61,"Last round","Within limit")))</f>
        <v/>
      </c>
      <c r="I61" s="2"/>
      <c r="J61" s="2"/>
      <c r="K61" s="2"/>
      <c r="L61" s="3"/>
      <c r="M61" s="2"/>
    </row>
    <row r="62" spans="1:13">
      <c r="A62" s="2"/>
      <c r="B62" s="2"/>
      <c r="C62" s="2"/>
      <c r="D62" s="2"/>
      <c r="E62" s="3"/>
      <c r="F62" s="2"/>
      <c r="G62" s="2"/>
      <c r="H62" s="2" t="str">
        <f>IF(OR(F62="",G62=""),"",IF(F62&gt;G62,"Over limit",IF(F62=G62,"Last round","Within limit")))</f>
        <v/>
      </c>
      <c r="I62" s="2"/>
      <c r="J62" s="2"/>
      <c r="K62" s="2"/>
      <c r="L62" s="3"/>
      <c r="M62" s="2"/>
    </row>
    <row r="63" spans="1:13">
      <c r="A63" s="2"/>
      <c r="B63" s="2"/>
      <c r="C63" s="2"/>
      <c r="D63" s="2"/>
      <c r="E63" s="3"/>
      <c r="F63" s="2"/>
      <c r="G63" s="2"/>
      <c r="H63" s="2" t="str">
        <f>IF(OR(F63="",G63=""),"",IF(F63&gt;G63,"Over limit",IF(F63=G63,"Last round","Within limit")))</f>
        <v/>
      </c>
      <c r="I63" s="2"/>
      <c r="J63" s="2"/>
      <c r="K63" s="2"/>
      <c r="L63" s="3"/>
      <c r="M63" s="2"/>
    </row>
    <row r="64" spans="1:13">
      <c r="A64" s="2"/>
      <c r="B64" s="2"/>
      <c r="C64" s="2"/>
      <c r="D64" s="2"/>
      <c r="E64" s="3"/>
      <c r="F64" s="2"/>
      <c r="G64" s="2"/>
      <c r="H64" s="2" t="str">
        <f>IF(OR(F64="",G64=""),"",IF(F64&gt;G64,"Over limit",IF(F64=G64,"Last round","Within limit")))</f>
        <v/>
      </c>
      <c r="I64" s="2"/>
      <c r="J64" s="2"/>
      <c r="K64" s="2"/>
      <c r="L64" s="3"/>
      <c r="M64" s="2"/>
    </row>
    <row r="65" spans="1:13">
      <c r="A65" s="2"/>
      <c r="B65" s="2"/>
      <c r="C65" s="2"/>
      <c r="D65" s="2"/>
      <c r="E65" s="3"/>
      <c r="F65" s="2"/>
      <c r="G65" s="2"/>
      <c r="H65" s="2" t="str">
        <f>IF(OR(F65="",G65=""),"",IF(F65&gt;G65,"Over limit",IF(F65=G65,"Last round","Within limit")))</f>
        <v/>
      </c>
      <c r="I65" s="2"/>
      <c r="J65" s="2"/>
      <c r="K65" s="2"/>
      <c r="L65" s="3"/>
      <c r="M65" s="2"/>
    </row>
    <row r="66" spans="1:13">
      <c r="A66" s="2"/>
      <c r="B66" s="2"/>
      <c r="C66" s="2"/>
      <c r="D66" s="2"/>
      <c r="E66" s="3"/>
      <c r="F66" s="2"/>
      <c r="G66" s="2"/>
      <c r="H66" s="2" t="str">
        <f>IF(OR(F66="",G66=""),"",IF(F66&gt;G66,"Over limit",IF(F66=G66,"Last round","Within limit")))</f>
        <v/>
      </c>
      <c r="I66" s="2"/>
      <c r="J66" s="2"/>
      <c r="K66" s="2"/>
      <c r="L66" s="3"/>
      <c r="M66" s="2"/>
    </row>
    <row r="67" spans="1:13">
      <c r="A67" s="2"/>
      <c r="B67" s="2"/>
      <c r="C67" s="2"/>
      <c r="D67" s="2"/>
      <c r="E67" s="3"/>
      <c r="F67" s="2"/>
      <c r="G67" s="2"/>
      <c r="H67" s="2" t="str">
        <f>IF(OR(F67="",G67=""),"",IF(F67&gt;G67,"Over limit",IF(F67=G67,"Last round","Within limit")))</f>
        <v/>
      </c>
      <c r="I67" s="2"/>
      <c r="J67" s="2"/>
      <c r="K67" s="2"/>
      <c r="L67" s="3"/>
      <c r="M67" s="2"/>
    </row>
    <row r="68" spans="1:13">
      <c r="A68" s="2"/>
      <c r="B68" s="2"/>
      <c r="C68" s="2"/>
      <c r="D68" s="2"/>
      <c r="E68" s="3"/>
      <c r="F68" s="2"/>
      <c r="G68" s="2"/>
      <c r="H68" s="2" t="str">
        <f>IF(OR(F68="",G68=""),"",IF(F68&gt;G68,"Over limit",IF(F68=G68,"Last round","Within limit")))</f>
        <v/>
      </c>
      <c r="I68" s="2"/>
      <c r="J68" s="2"/>
      <c r="K68" s="2"/>
      <c r="L68" s="3"/>
      <c r="M68" s="2"/>
    </row>
    <row r="69" spans="1:13">
      <c r="A69" s="2"/>
      <c r="B69" s="2"/>
      <c r="C69" s="2"/>
      <c r="D69" s="2"/>
      <c r="E69" s="3"/>
      <c r="F69" s="2"/>
      <c r="G69" s="2"/>
      <c r="H69" s="2" t="str">
        <f>IF(OR(F69="",G69=""),"",IF(F69&gt;G69,"Over limit",IF(F69=G69,"Last round","Within limit")))</f>
        <v/>
      </c>
      <c r="I69" s="2"/>
      <c r="J69" s="2"/>
      <c r="K69" s="2"/>
      <c r="L69" s="3"/>
      <c r="M69" s="2"/>
    </row>
    <row r="70" spans="1:13">
      <c r="A70" s="2"/>
      <c r="B70" s="2"/>
      <c r="C70" s="2"/>
      <c r="D70" s="2"/>
      <c r="E70" s="3"/>
      <c r="F70" s="2"/>
      <c r="G70" s="2"/>
      <c r="H70" s="2" t="str">
        <f>IF(OR(F70="",G70=""),"",IF(F70&gt;G70,"Over limit",IF(F70=G70,"Last round","Within limit")))</f>
        <v/>
      </c>
      <c r="I70" s="2"/>
      <c r="J70" s="2"/>
      <c r="K70" s="2"/>
      <c r="L70" s="3"/>
      <c r="M70" s="2"/>
    </row>
    <row r="71" spans="1:13">
      <c r="A71" s="2"/>
      <c r="B71" s="2"/>
      <c r="C71" s="2"/>
      <c r="D71" s="2"/>
      <c r="E71" s="3"/>
      <c r="F71" s="2"/>
      <c r="G71" s="2"/>
      <c r="H71" s="2" t="str">
        <f>IF(OR(F71="",G71=""),"",IF(F71&gt;G71,"Over limit",IF(F71=G71,"Last round","Within limit")))</f>
        <v/>
      </c>
      <c r="I71" s="2"/>
      <c r="J71" s="2"/>
      <c r="K71" s="2"/>
      <c r="L71" s="3"/>
      <c r="M71" s="2"/>
    </row>
    <row r="72" spans="1:13">
      <c r="A72" s="2"/>
      <c r="B72" s="2"/>
      <c r="C72" s="2"/>
      <c r="D72" s="2"/>
      <c r="E72" s="3"/>
      <c r="F72" s="2"/>
      <c r="G72" s="2"/>
      <c r="H72" s="2" t="str">
        <f>IF(OR(F72="",G72=""),"",IF(F72&gt;G72,"Over limit",IF(F72=G72,"Last round","Within limit")))</f>
        <v/>
      </c>
      <c r="I72" s="2"/>
      <c r="J72" s="2"/>
      <c r="K72" s="2"/>
      <c r="L72" s="3"/>
      <c r="M72" s="2"/>
    </row>
    <row r="73" spans="1:13">
      <c r="A73" s="2"/>
      <c r="B73" s="2"/>
      <c r="C73" s="2"/>
      <c r="D73" s="2"/>
      <c r="E73" s="3"/>
      <c r="F73" s="2"/>
      <c r="G73" s="2"/>
      <c r="H73" s="2" t="str">
        <f>IF(OR(F73="",G73=""),"",IF(F73&gt;G73,"Over limit",IF(F73=G73,"Last round","Within limit")))</f>
        <v/>
      </c>
      <c r="I73" s="2"/>
      <c r="J73" s="2"/>
      <c r="K73" s="2"/>
      <c r="L73" s="3"/>
      <c r="M73" s="2"/>
    </row>
    <row r="74" spans="1:13">
      <c r="A74" s="2"/>
      <c r="B74" s="2"/>
      <c r="C74" s="2"/>
      <c r="D74" s="2"/>
      <c r="E74" s="3"/>
      <c r="F74" s="2"/>
      <c r="G74" s="2"/>
      <c r="H74" s="2" t="str">
        <f>IF(OR(F74="",G74=""),"",IF(F74&gt;G74,"Over limit",IF(F74=G74,"Last round","Within limit")))</f>
        <v/>
      </c>
      <c r="I74" s="2"/>
      <c r="J74" s="2"/>
      <c r="K74" s="2"/>
      <c r="L74" s="3"/>
      <c r="M74" s="2"/>
    </row>
    <row r="75" spans="1:13">
      <c r="A75" s="2"/>
      <c r="B75" s="2"/>
      <c r="C75" s="2"/>
      <c r="D75" s="2"/>
      <c r="E75" s="3"/>
      <c r="F75" s="2"/>
      <c r="G75" s="2"/>
      <c r="H75" s="2" t="str">
        <f>IF(OR(F75="",G75=""),"",IF(F75&gt;G75,"Over limit",IF(F75=G75,"Last round","Within limit")))</f>
        <v/>
      </c>
      <c r="I75" s="2"/>
      <c r="J75" s="2"/>
      <c r="K75" s="2"/>
      <c r="L75" s="3"/>
      <c r="M75" s="2"/>
    </row>
    <row r="76" spans="1:13">
      <c r="A76" s="2"/>
      <c r="B76" s="2"/>
      <c r="C76" s="2"/>
      <c r="D76" s="2"/>
      <c r="E76" s="3"/>
      <c r="F76" s="2"/>
      <c r="G76" s="2"/>
      <c r="H76" s="2" t="str">
        <f>IF(OR(F76="",G76=""),"",IF(F76&gt;G76,"Over limit",IF(F76=G76,"Last round","Within limit")))</f>
        <v/>
      </c>
      <c r="I76" s="2"/>
      <c r="J76" s="2"/>
      <c r="K76" s="2"/>
      <c r="L76" s="3"/>
      <c r="M76" s="2"/>
    </row>
    <row r="77" spans="1:13">
      <c r="A77" s="2"/>
      <c r="B77" s="2"/>
      <c r="C77" s="2"/>
      <c r="D77" s="2"/>
      <c r="E77" s="3"/>
      <c r="F77" s="2"/>
      <c r="G77" s="2"/>
      <c r="H77" s="2" t="str">
        <f>IF(OR(F77="",G77=""),"",IF(F77&gt;G77,"Over limit",IF(F77=G77,"Last round","Within limit")))</f>
        <v/>
      </c>
      <c r="I77" s="2"/>
      <c r="J77" s="2"/>
      <c r="K77" s="2"/>
      <c r="L77" s="3"/>
      <c r="M77" s="2"/>
    </row>
    <row r="78" spans="1:13">
      <c r="A78" s="2"/>
      <c r="B78" s="2"/>
      <c r="C78" s="2"/>
      <c r="D78" s="2"/>
      <c r="E78" s="3"/>
      <c r="F78" s="2"/>
      <c r="G78" s="2"/>
      <c r="H78" s="2" t="str">
        <f>IF(OR(F78="",G78=""),"",IF(F78&gt;G78,"Over limit",IF(F78=G78,"Last round","Within limit")))</f>
        <v/>
      </c>
      <c r="I78" s="2"/>
      <c r="J78" s="2"/>
      <c r="K78" s="2"/>
      <c r="L78" s="3"/>
      <c r="M78" s="2"/>
    </row>
    <row r="79" spans="1:13">
      <c r="A79" s="2"/>
      <c r="B79" s="2"/>
      <c r="C79" s="2"/>
      <c r="D79" s="2"/>
      <c r="E79" s="3"/>
      <c r="F79" s="2"/>
      <c r="G79" s="2"/>
      <c r="H79" s="2" t="str">
        <f>IF(OR(F79="",G79=""),"",IF(F79&gt;G79,"Over limit",IF(F79=G79,"Last round","Within limit")))</f>
        <v/>
      </c>
      <c r="I79" s="2"/>
      <c r="J79" s="2"/>
      <c r="K79" s="2"/>
      <c r="L79" s="3"/>
      <c r="M79" s="2"/>
    </row>
    <row r="80" spans="1:13">
      <c r="A80" s="2"/>
      <c r="B80" s="2"/>
      <c r="C80" s="2"/>
      <c r="D80" s="2"/>
      <c r="E80" s="3"/>
      <c r="F80" s="2"/>
      <c r="G80" s="2"/>
      <c r="H80" s="2" t="str">
        <f>IF(OR(F80="",G80=""),"",IF(F80&gt;G80,"Over limit",IF(F80=G80,"Last round","Within limit")))</f>
        <v/>
      </c>
      <c r="I80" s="2"/>
      <c r="J80" s="2"/>
      <c r="K80" s="2"/>
      <c r="L80" s="3"/>
      <c r="M80" s="2"/>
    </row>
    <row r="81" spans="1:13">
      <c r="A81" s="2"/>
      <c r="B81" s="2"/>
      <c r="C81" s="2"/>
      <c r="D81" s="2"/>
      <c r="E81" s="3"/>
      <c r="F81" s="2"/>
      <c r="G81" s="2"/>
      <c r="H81" s="2" t="str">
        <f>IF(OR(F81="",G81=""),"",IF(F81&gt;G81,"Over limit",IF(F81=G81,"Last round","Within limit")))</f>
        <v/>
      </c>
      <c r="I81" s="2"/>
      <c r="J81" s="2"/>
      <c r="K81" s="2"/>
      <c r="L81" s="3"/>
      <c r="M81" s="2"/>
    </row>
    <row r="82" spans="1:13">
      <c r="A82" s="2"/>
      <c r="B82" s="2"/>
      <c r="C82" s="2"/>
      <c r="D82" s="2"/>
      <c r="E82" s="3"/>
      <c r="F82" s="2"/>
      <c r="G82" s="2"/>
      <c r="H82" s="2" t="str">
        <f>IF(OR(F82="",G82=""),"",IF(F82&gt;G82,"Over limit",IF(F82=G82,"Last round","Within limit")))</f>
        <v/>
      </c>
      <c r="I82" s="2"/>
      <c r="J82" s="2"/>
      <c r="K82" s="2"/>
      <c r="L82" s="3"/>
      <c r="M82" s="2"/>
    </row>
    <row r="83" spans="1:13">
      <c r="A83" s="2"/>
      <c r="B83" s="2"/>
      <c r="C83" s="2"/>
      <c r="D83" s="2"/>
      <c r="E83" s="3"/>
      <c r="F83" s="2"/>
      <c r="G83" s="2"/>
      <c r="H83" s="2" t="str">
        <f>IF(OR(F83="",G83=""),"",IF(F83&gt;G83,"Over limit",IF(F83=G83,"Last round","Within limit")))</f>
        <v/>
      </c>
      <c r="I83" s="2"/>
      <c r="J83" s="2"/>
      <c r="K83" s="2"/>
      <c r="L83" s="3"/>
      <c r="M83" s="2"/>
    </row>
    <row r="84" spans="1:13">
      <c r="A84" s="2"/>
      <c r="B84" s="2"/>
      <c r="C84" s="2"/>
      <c r="D84" s="2"/>
      <c r="E84" s="3"/>
      <c r="F84" s="2"/>
      <c r="G84" s="2"/>
      <c r="H84" s="2" t="str">
        <f>IF(OR(F84="",G84=""),"",IF(F84&gt;G84,"Over limit",IF(F84=G84,"Last round","Within limit")))</f>
        <v/>
      </c>
      <c r="I84" s="2"/>
      <c r="J84" s="2"/>
      <c r="K84" s="2"/>
      <c r="L84" s="3"/>
      <c r="M84" s="2"/>
    </row>
    <row r="85" spans="1:13">
      <c r="A85" s="2"/>
      <c r="B85" s="2"/>
      <c r="C85" s="2"/>
      <c r="D85" s="2"/>
      <c r="E85" s="3"/>
      <c r="F85" s="2"/>
      <c r="G85" s="2"/>
      <c r="H85" s="2" t="str">
        <f>IF(OR(F85="",G85=""),"",IF(F85&gt;G85,"Over limit",IF(F85=G85,"Last round","Within limit")))</f>
        <v/>
      </c>
      <c r="I85" s="2"/>
      <c r="J85" s="2"/>
      <c r="K85" s="2"/>
      <c r="L85" s="3"/>
      <c r="M85" s="2"/>
    </row>
    <row r="86" spans="1:13">
      <c r="A86" s="2"/>
      <c r="B86" s="2"/>
      <c r="C86" s="2"/>
      <c r="D86" s="2"/>
      <c r="E86" s="3"/>
      <c r="F86" s="2"/>
      <c r="G86" s="2"/>
      <c r="H86" s="2" t="str">
        <f>IF(OR(F86="",G86=""),"",IF(F86&gt;G86,"Over limit",IF(F86=G86,"Last round","Within limit")))</f>
        <v/>
      </c>
      <c r="I86" s="2"/>
      <c r="J86" s="2"/>
      <c r="K86" s="2"/>
      <c r="L86" s="3"/>
      <c r="M86" s="2"/>
    </row>
    <row r="87" spans="1:13">
      <c r="A87" s="2"/>
      <c r="B87" s="2"/>
      <c r="C87" s="2"/>
      <c r="D87" s="2"/>
      <c r="E87" s="3"/>
      <c r="F87" s="2"/>
      <c r="G87" s="2"/>
      <c r="H87" s="2" t="str">
        <f>IF(OR(F87="",G87=""),"",IF(F87&gt;G87,"Over limit",IF(F87=G87,"Last round","Within limit")))</f>
        <v/>
      </c>
      <c r="I87" s="2"/>
      <c r="J87" s="2"/>
      <c r="K87" s="2"/>
      <c r="L87" s="3"/>
      <c r="M87" s="2"/>
    </row>
    <row r="88" spans="1:13">
      <c r="A88" s="2"/>
      <c r="B88" s="2"/>
      <c r="C88" s="2"/>
      <c r="D88" s="2"/>
      <c r="E88" s="3"/>
      <c r="F88" s="2"/>
      <c r="G88" s="2"/>
      <c r="H88" s="2" t="str">
        <f>IF(OR(F88="",G88=""),"",IF(F88&gt;G88,"Over limit",IF(F88=G88,"Last round","Within limit")))</f>
        <v/>
      </c>
      <c r="I88" s="2"/>
      <c r="J88" s="2"/>
      <c r="K88" s="2"/>
      <c r="L88" s="3"/>
      <c r="M88" s="2"/>
    </row>
    <row r="89" spans="1:13">
      <c r="A89" s="2"/>
      <c r="B89" s="2"/>
      <c r="C89" s="2"/>
      <c r="D89" s="2"/>
      <c r="E89" s="3"/>
      <c r="F89" s="2"/>
      <c r="G89" s="2"/>
      <c r="H89" s="2" t="str">
        <f>IF(OR(F89="",G89=""),"",IF(F89&gt;G89,"Over limit",IF(F89=G89,"Last round","Within limit")))</f>
        <v/>
      </c>
      <c r="I89" s="2"/>
      <c r="J89" s="2"/>
      <c r="K89" s="2"/>
      <c r="L89" s="3"/>
      <c r="M89" s="2"/>
    </row>
    <row r="90" spans="1:13">
      <c r="A90" s="2"/>
      <c r="B90" s="2"/>
      <c r="C90" s="2"/>
      <c r="D90" s="2"/>
      <c r="E90" s="3"/>
      <c r="F90" s="2"/>
      <c r="G90" s="2"/>
      <c r="H90" s="2" t="str">
        <f>IF(OR(F90="",G90=""),"",IF(F90&gt;G90,"Over limit",IF(F90=G90,"Last round","Within limit")))</f>
        <v/>
      </c>
      <c r="I90" s="2"/>
      <c r="J90" s="2"/>
      <c r="K90" s="2"/>
      <c r="L90" s="3"/>
      <c r="M90" s="2"/>
    </row>
    <row r="91" spans="1:13">
      <c r="A91" s="2"/>
      <c r="B91" s="2"/>
      <c r="C91" s="2"/>
      <c r="D91" s="2"/>
      <c r="E91" s="3"/>
      <c r="F91" s="2"/>
      <c r="G91" s="2"/>
      <c r="H91" s="2" t="str">
        <f>IF(OR(F91="",G91=""),"",IF(F91&gt;G91,"Over limit",IF(F91=G91,"Last round","Within limit")))</f>
        <v/>
      </c>
      <c r="I91" s="2"/>
      <c r="J91" s="2"/>
      <c r="K91" s="2"/>
      <c r="L91" s="3"/>
      <c r="M91" s="2"/>
    </row>
    <row r="92" spans="1:13">
      <c r="A92" s="2"/>
      <c r="B92" s="2"/>
      <c r="C92" s="2"/>
      <c r="D92" s="2"/>
      <c r="E92" s="3"/>
      <c r="F92" s="2"/>
      <c r="G92" s="2"/>
      <c r="H92" s="2" t="str">
        <f>IF(OR(F92="",G92=""),"",IF(F92&gt;G92,"Over limit",IF(F92=G92,"Last round","Within limit")))</f>
        <v/>
      </c>
      <c r="I92" s="2"/>
      <c r="J92" s="2"/>
      <c r="K92" s="2"/>
      <c r="L92" s="3"/>
      <c r="M92" s="2"/>
    </row>
    <row r="93" spans="1:13">
      <c r="A93" s="2"/>
      <c r="B93" s="2"/>
      <c r="C93" s="2"/>
      <c r="D93" s="2"/>
      <c r="E93" s="3"/>
      <c r="F93" s="2"/>
      <c r="G93" s="2"/>
      <c r="H93" s="2" t="str">
        <f>IF(OR(F93="",G93=""),"",IF(F93&gt;G93,"Over limit",IF(F93=G93,"Last round","Within limit")))</f>
        <v/>
      </c>
      <c r="I93" s="2"/>
      <c r="J93" s="2"/>
      <c r="K93" s="2"/>
      <c r="L93" s="3"/>
      <c r="M93" s="2"/>
    </row>
    <row r="94" spans="1:13">
      <c r="A94" s="2"/>
      <c r="B94" s="2"/>
      <c r="C94" s="2"/>
      <c r="D94" s="2"/>
      <c r="E94" s="3"/>
      <c r="F94" s="2"/>
      <c r="G94" s="2"/>
      <c r="H94" s="2" t="str">
        <f>IF(OR(F94="",G94=""),"",IF(F94&gt;G94,"Over limit",IF(F94=G94,"Last round","Within limit")))</f>
        <v/>
      </c>
      <c r="I94" s="2"/>
      <c r="J94" s="2"/>
      <c r="K94" s="2"/>
      <c r="L94" s="3"/>
      <c r="M94" s="2"/>
    </row>
    <row r="95" spans="1:13">
      <c r="A95" s="2"/>
      <c r="B95" s="2"/>
      <c r="C95" s="2"/>
      <c r="D95" s="2"/>
      <c r="E95" s="3"/>
      <c r="F95" s="2"/>
      <c r="G95" s="2"/>
      <c r="H95" s="2" t="str">
        <f>IF(OR(F95="",G95=""),"",IF(F95&gt;G95,"Over limit",IF(F95=G95,"Last round","Within limit")))</f>
        <v/>
      </c>
      <c r="I95" s="2"/>
      <c r="J95" s="2"/>
      <c r="K95" s="2"/>
      <c r="L95" s="3"/>
      <c r="M95" s="2"/>
    </row>
    <row r="96" spans="1:13">
      <c r="A96" s="2"/>
      <c r="B96" s="2"/>
      <c r="C96" s="2"/>
      <c r="D96" s="2"/>
      <c r="E96" s="3"/>
      <c r="F96" s="2"/>
      <c r="G96" s="2"/>
      <c r="H96" s="2" t="str">
        <f>IF(OR(F96="",G96=""),"",IF(F96&gt;G96,"Over limit",IF(F96=G96,"Last round","Within limit")))</f>
        <v/>
      </c>
      <c r="I96" s="2"/>
      <c r="J96" s="2"/>
      <c r="K96" s="2"/>
      <c r="L96" s="3"/>
      <c r="M96" s="2"/>
    </row>
    <row r="97" spans="1:13">
      <c r="A97" s="2"/>
      <c r="B97" s="2"/>
      <c r="C97" s="2"/>
      <c r="D97" s="2"/>
      <c r="E97" s="3"/>
      <c r="F97" s="2"/>
      <c r="G97" s="2"/>
      <c r="H97" s="2" t="str">
        <f>IF(OR(F97="",G97=""),"",IF(F97&gt;G97,"Over limit",IF(F97=G97,"Last round","Within limit")))</f>
        <v/>
      </c>
      <c r="I97" s="2"/>
      <c r="J97" s="2"/>
      <c r="K97" s="2"/>
      <c r="L97" s="3"/>
      <c r="M97" s="2"/>
    </row>
    <row r="98" spans="1:13">
      <c r="A98" s="2"/>
      <c r="B98" s="2"/>
      <c r="C98" s="2"/>
      <c r="D98" s="2"/>
      <c r="E98" s="3"/>
      <c r="F98" s="2"/>
      <c r="G98" s="2"/>
      <c r="H98" s="2" t="str">
        <f>IF(OR(F98="",G98=""),"",IF(F98&gt;G98,"Over limit",IF(F98=G98,"Last round","Within limit")))</f>
        <v/>
      </c>
      <c r="I98" s="2"/>
      <c r="J98" s="2"/>
      <c r="K98" s="2"/>
      <c r="L98" s="3"/>
      <c r="M98" s="2"/>
    </row>
    <row r="99" spans="1:13">
      <c r="A99" s="2"/>
      <c r="B99" s="2"/>
      <c r="C99" s="2"/>
      <c r="D99" s="2"/>
      <c r="E99" s="3"/>
      <c r="F99" s="2"/>
      <c r="G99" s="2"/>
      <c r="H99" s="2" t="str">
        <f>IF(OR(F99="",G99=""),"",IF(F99&gt;G99,"Over limit",IF(F99=G99,"Last round","Within limit")))</f>
        <v/>
      </c>
      <c r="I99" s="2"/>
      <c r="J99" s="2"/>
      <c r="K99" s="2"/>
      <c r="L99" s="3"/>
      <c r="M99" s="2"/>
    </row>
    <row r="100" spans="1:13">
      <c r="A100" s="2"/>
      <c r="B100" s="2"/>
      <c r="C100" s="2"/>
      <c r="D100" s="2"/>
      <c r="E100" s="3"/>
      <c r="F100" s="2"/>
      <c r="G100" s="2"/>
      <c r="H100" s="2" t="str">
        <f>IF(OR(F100="",G100=""),"",IF(F100&gt;G100,"Over limit",IF(F100=G100,"Last round","Within limit")))</f>
        <v/>
      </c>
      <c r="I100" s="2"/>
      <c r="J100" s="2"/>
      <c r="K100" s="2"/>
      <c r="L100" s="3"/>
      <c r="M100" s="2"/>
    </row>
    <row r="101" spans="1:13">
      <c r="A101" s="2"/>
      <c r="B101" s="2"/>
      <c r="C101" s="2"/>
      <c r="D101" s="2"/>
      <c r="E101" s="3"/>
      <c r="F101" s="2"/>
      <c r="G101" s="2"/>
      <c r="H101" s="2" t="str">
        <f>IF(OR(F101="",G101=""),"",IF(F101&gt;G101,"Over limit",IF(F101=G101,"Last round","Within limit")))</f>
        <v/>
      </c>
      <c r="I101" s="2"/>
      <c r="J101" s="2"/>
      <c r="K101" s="2"/>
      <c r="L101" s="3"/>
      <c r="M101" s="2"/>
    </row>
    <row r="102" spans="1:13">
      <c r="A102" s="2"/>
      <c r="B102" s="2"/>
      <c r="C102" s="2"/>
      <c r="D102" s="2"/>
      <c r="E102" s="3"/>
      <c r="F102" s="2"/>
      <c r="G102" s="2"/>
      <c r="H102" s="2" t="str">
        <f>IF(OR(F102="",G102=""),"",IF(F102&gt;G102,"Over limit",IF(F102=G102,"Last round","Within limit")))</f>
        <v/>
      </c>
      <c r="I102" s="2"/>
      <c r="J102" s="2"/>
      <c r="K102" s="2"/>
      <c r="L102" s="3"/>
      <c r="M102" s="2"/>
    </row>
    <row r="103" spans="1:13">
      <c r="A103" s="2"/>
      <c r="B103" s="2"/>
      <c r="C103" s="2"/>
      <c r="D103" s="2"/>
      <c r="E103" s="3"/>
      <c r="F103" s="2"/>
      <c r="G103" s="2"/>
      <c r="H103" s="2" t="str">
        <f>IF(OR(F103="",G103=""),"",IF(F103&gt;G103,"Over limit",IF(F103=G103,"Last round","Within limit")))</f>
        <v/>
      </c>
      <c r="I103" s="2"/>
      <c r="J103" s="2"/>
      <c r="K103" s="2"/>
      <c r="L103" s="3"/>
      <c r="M103" s="2"/>
    </row>
    <row r="104" spans="1:13">
      <c r="A104" s="2"/>
      <c r="B104" s="2"/>
      <c r="C104" s="2"/>
      <c r="D104" s="2"/>
      <c r="E104" s="3"/>
      <c r="F104" s="2"/>
      <c r="G104" s="2"/>
      <c r="H104" s="2" t="str">
        <f>IF(OR(F104="",G104=""),"",IF(F104&gt;G104,"Over limit",IF(F104=G104,"Last round","Within limit")))</f>
        <v/>
      </c>
      <c r="I104" s="2"/>
      <c r="J104" s="2"/>
      <c r="K104" s="2"/>
      <c r="L104" s="3"/>
      <c r="M104" s="2"/>
    </row>
    <row r="105" spans="1:13">
      <c r="A105" s="2"/>
      <c r="B105" s="2"/>
      <c r="C105" s="2"/>
      <c r="D105" s="2"/>
      <c r="E105" s="3"/>
      <c r="F105" s="2"/>
      <c r="G105" s="2"/>
      <c r="H105" s="2" t="str">
        <f>IF(OR(F105="",G105=""),"",IF(F105&gt;G105,"Over limit",IF(F105=G105,"Last round","Within limit")))</f>
        <v/>
      </c>
      <c r="I105" s="2"/>
      <c r="J105" s="2"/>
      <c r="K105" s="2"/>
      <c r="L105" s="3"/>
      <c r="M105" s="2"/>
    </row>
    <row r="106" spans="1:13">
      <c r="A106" s="2"/>
      <c r="B106" s="2"/>
      <c r="C106" s="2"/>
      <c r="D106" s="2"/>
      <c r="E106" s="3"/>
      <c r="F106" s="2"/>
      <c r="G106" s="2"/>
      <c r="H106" s="2" t="str">
        <f>IF(OR(F106="",G106=""),"",IF(F106&gt;G106,"Over limit",IF(F106=G106,"Last round","Within limit")))</f>
        <v/>
      </c>
      <c r="I106" s="2"/>
      <c r="J106" s="2"/>
      <c r="K106" s="2"/>
      <c r="L106" s="3"/>
      <c r="M106" s="2"/>
    </row>
    <row r="107" spans="1:13">
      <c r="A107" s="2"/>
      <c r="B107" s="2"/>
      <c r="C107" s="2"/>
      <c r="D107" s="2"/>
      <c r="E107" s="3"/>
      <c r="F107" s="2"/>
      <c r="G107" s="2"/>
      <c r="H107" s="2" t="str">
        <f>IF(OR(F107="",G107=""),"",IF(F107&gt;G107,"Over limit",IF(F107=G107,"Last round","Within limit")))</f>
        <v/>
      </c>
      <c r="I107" s="2"/>
      <c r="J107" s="2"/>
      <c r="K107" s="2"/>
      <c r="L107" s="3"/>
      <c r="M107" s="2"/>
    </row>
    <row r="108" spans="1:13">
      <c r="A108" s="2"/>
      <c r="B108" s="2"/>
      <c r="C108" s="2"/>
      <c r="D108" s="2"/>
      <c r="E108" s="3"/>
      <c r="F108" s="2"/>
      <c r="G108" s="2"/>
      <c r="H108" s="2" t="str">
        <f>IF(OR(F108="",G108=""),"",IF(F108&gt;G108,"Over limit",IF(F108=G108,"Last round","Within limit")))</f>
        <v/>
      </c>
      <c r="I108" s="2"/>
      <c r="J108" s="2"/>
      <c r="K108" s="2"/>
      <c r="L108" s="3"/>
      <c r="M108" s="2"/>
    </row>
    <row r="109" spans="1:13">
      <c r="A109" s="2"/>
      <c r="B109" s="2"/>
      <c r="C109" s="2"/>
      <c r="D109" s="2"/>
      <c r="E109" s="3"/>
      <c r="F109" s="2"/>
      <c r="G109" s="2"/>
      <c r="H109" s="2" t="str">
        <f>IF(OR(F109="",G109=""),"",IF(F109&gt;G109,"Over limit",IF(F109=G109,"Last round","Within limit")))</f>
        <v/>
      </c>
      <c r="I109" s="2"/>
      <c r="J109" s="2"/>
      <c r="K109" s="2"/>
      <c r="L109" s="3"/>
      <c r="M109" s="2"/>
    </row>
    <row r="110" spans="1:13">
      <c r="A110" s="2"/>
      <c r="B110" s="2"/>
      <c r="C110" s="2"/>
      <c r="D110" s="2"/>
      <c r="E110" s="3"/>
      <c r="F110" s="2"/>
      <c r="G110" s="2"/>
      <c r="H110" s="2" t="str">
        <f>IF(OR(F110="",G110=""),"",IF(F110&gt;G110,"Over limit",IF(F110=G110,"Last round","Within limit")))</f>
        <v/>
      </c>
      <c r="I110" s="2"/>
      <c r="J110" s="2"/>
      <c r="K110" s="2"/>
      <c r="L110" s="3"/>
      <c r="M110" s="2"/>
    </row>
    <row r="111" spans="1:13">
      <c r="A111" s="2"/>
      <c r="B111" s="2"/>
      <c r="C111" s="2"/>
      <c r="D111" s="2"/>
      <c r="E111" s="3"/>
      <c r="F111" s="2"/>
      <c r="G111" s="2"/>
      <c r="H111" s="2" t="str">
        <f>IF(OR(F111="",G111=""),"",IF(F111&gt;G111,"Over limit",IF(F111=G111,"Last round","Within limit")))</f>
        <v/>
      </c>
      <c r="I111" s="2"/>
      <c r="J111" s="2"/>
      <c r="K111" s="2"/>
      <c r="L111" s="3"/>
      <c r="M111" s="2"/>
    </row>
    <row r="112" spans="1:13">
      <c r="A112" s="2"/>
      <c r="B112" s="2"/>
      <c r="C112" s="2"/>
      <c r="D112" s="2"/>
      <c r="E112" s="3"/>
      <c r="F112" s="2"/>
      <c r="G112" s="2"/>
      <c r="H112" s="2" t="str">
        <f>IF(OR(F112="",G112=""),"",IF(F112&gt;G112,"Over limit",IF(F112=G112,"Last round","Within limit")))</f>
        <v/>
      </c>
      <c r="I112" s="2"/>
      <c r="J112" s="2"/>
      <c r="K112" s="2"/>
      <c r="L112" s="3"/>
      <c r="M112" s="2"/>
    </row>
    <row r="113" spans="1:13">
      <c r="A113" s="2"/>
      <c r="B113" s="2"/>
      <c r="C113" s="2"/>
      <c r="D113" s="2"/>
      <c r="E113" s="3"/>
      <c r="F113" s="2"/>
      <c r="G113" s="2"/>
      <c r="H113" s="2" t="str">
        <f>IF(OR(F113="",G113=""),"",IF(F113&gt;G113,"Over limit",IF(F113=G113,"Last round","Within limit")))</f>
        <v/>
      </c>
      <c r="I113" s="2"/>
      <c r="J113" s="2"/>
      <c r="K113" s="2"/>
      <c r="L113" s="3"/>
      <c r="M113" s="2"/>
    </row>
    <row r="114" spans="1:13">
      <c r="A114" s="2"/>
      <c r="B114" s="2"/>
      <c r="C114" s="2"/>
      <c r="D114" s="2"/>
      <c r="E114" s="3"/>
      <c r="F114" s="2"/>
      <c r="G114" s="2"/>
      <c r="H114" s="2" t="str">
        <f>IF(OR(F114="",G114=""),"",IF(F114&gt;G114,"Over limit",IF(F114=G114,"Last round","Within limit")))</f>
        <v/>
      </c>
      <c r="I114" s="2"/>
      <c r="J114" s="2"/>
      <c r="K114" s="2"/>
      <c r="L114" s="3"/>
      <c r="M114" s="2"/>
    </row>
    <row r="115" spans="1:13">
      <c r="A115" s="2"/>
      <c r="B115" s="2"/>
      <c r="C115" s="2"/>
      <c r="D115" s="2"/>
      <c r="E115" s="3"/>
      <c r="F115" s="2"/>
      <c r="G115" s="2"/>
      <c r="H115" s="2" t="str">
        <f>IF(OR(F115="",G115=""),"",IF(F115&gt;G115,"Over limit",IF(F115=G115,"Last round","Within limit")))</f>
        <v/>
      </c>
      <c r="I115" s="2"/>
      <c r="J115" s="2"/>
      <c r="K115" s="2"/>
      <c r="L115" s="3"/>
      <c r="M115" s="2"/>
    </row>
    <row r="116" spans="1:13">
      <c r="A116" s="2"/>
      <c r="B116" s="2"/>
      <c r="C116" s="2"/>
      <c r="D116" s="2"/>
      <c r="E116" s="3"/>
      <c r="F116" s="2"/>
      <c r="G116" s="2"/>
      <c r="H116" s="2" t="str">
        <f>IF(OR(F116="",G116=""),"",IF(F116&gt;G116,"Over limit",IF(F116=G116,"Last round","Within limit")))</f>
        <v/>
      </c>
      <c r="I116" s="2"/>
      <c r="J116" s="2"/>
      <c r="K116" s="2"/>
      <c r="L116" s="3"/>
      <c r="M116" s="2"/>
    </row>
    <row r="117" spans="1:13">
      <c r="A117" s="2"/>
      <c r="B117" s="2"/>
      <c r="C117" s="2"/>
      <c r="D117" s="2"/>
      <c r="E117" s="3"/>
      <c r="F117" s="2"/>
      <c r="G117" s="2"/>
      <c r="H117" s="2" t="str">
        <f>IF(OR(F117="",G117=""),"",IF(F117&gt;G117,"Over limit",IF(F117=G117,"Last round","Within limit")))</f>
        <v/>
      </c>
      <c r="I117" s="2"/>
      <c r="J117" s="2"/>
      <c r="K117" s="2"/>
      <c r="L117" s="3"/>
      <c r="M117" s="2"/>
    </row>
    <row r="118" spans="1:13">
      <c r="A118" s="2"/>
      <c r="B118" s="2"/>
      <c r="C118" s="2"/>
      <c r="D118" s="2"/>
      <c r="E118" s="3"/>
      <c r="F118" s="2"/>
      <c r="G118" s="2"/>
      <c r="H118" s="2" t="str">
        <f>IF(OR(F118="",G118=""),"",IF(F118&gt;G118,"Over limit",IF(F118=G118,"Last round","Within limit")))</f>
        <v/>
      </c>
      <c r="I118" s="2"/>
      <c r="J118" s="2"/>
      <c r="K118" s="2"/>
      <c r="L118" s="3"/>
      <c r="M118" s="2"/>
    </row>
    <row r="119" spans="1:13">
      <c r="A119" s="2"/>
      <c r="B119" s="2"/>
      <c r="C119" s="2"/>
      <c r="D119" s="2"/>
      <c r="E119" s="3"/>
      <c r="F119" s="2"/>
      <c r="G119" s="2"/>
      <c r="H119" s="2" t="str">
        <f>IF(OR(F119="",G119=""),"",IF(F119&gt;G119,"Over limit",IF(F119=G119,"Last round","Within limit")))</f>
        <v/>
      </c>
      <c r="I119" s="2"/>
      <c r="J119" s="2"/>
      <c r="K119" s="2"/>
      <c r="L119" s="3"/>
      <c r="M119" s="2"/>
    </row>
    <row r="120" spans="1:13">
      <c r="A120" s="2"/>
      <c r="B120" s="2"/>
      <c r="C120" s="2"/>
      <c r="D120" s="2"/>
      <c r="E120" s="3"/>
      <c r="F120" s="2"/>
      <c r="G120" s="2"/>
      <c r="H120" s="2" t="str">
        <f>IF(OR(F120="",G120=""),"",IF(F120&gt;G120,"Over limit",IF(F120=G120,"Last round","Within limit")))</f>
        <v/>
      </c>
      <c r="I120" s="2"/>
      <c r="J120" s="2"/>
      <c r="K120" s="2"/>
      <c r="L120" s="3"/>
      <c r="M120" s="2"/>
    </row>
    <row r="121" spans="1:13">
      <c r="A121" s="2"/>
      <c r="B121" s="2"/>
      <c r="C121" s="2"/>
      <c r="D121" s="2"/>
      <c r="E121" s="3"/>
      <c r="F121" s="2"/>
      <c r="G121" s="2"/>
      <c r="H121" s="2" t="str">
        <f>IF(OR(F121="",G121=""),"",IF(F121&gt;G121,"Over limit",IF(F121=G121,"Last round","Within limit")))</f>
        <v/>
      </c>
      <c r="I121" s="2"/>
      <c r="J121" s="2"/>
      <c r="K121" s="2"/>
      <c r="L121" s="3"/>
      <c r="M121" s="2"/>
    </row>
    <row r="122" spans="1:13">
      <c r="A122" s="2"/>
      <c r="B122" s="2"/>
      <c r="C122" s="2"/>
      <c r="D122" s="2"/>
      <c r="E122" s="3"/>
      <c r="F122" s="2"/>
      <c r="G122" s="2"/>
      <c r="H122" s="2" t="str">
        <f>IF(OR(F122="",G122=""),"",IF(F122&gt;G122,"Over limit",IF(F122=G122,"Last round","Within limit")))</f>
        <v/>
      </c>
      <c r="I122" s="2"/>
      <c r="J122" s="2"/>
      <c r="K122" s="2"/>
      <c r="L122" s="3"/>
      <c r="M122" s="2"/>
    </row>
    <row r="123" spans="1:13">
      <c r="A123" s="2"/>
      <c r="B123" s="2"/>
      <c r="C123" s="2"/>
      <c r="D123" s="2"/>
      <c r="E123" s="3"/>
      <c r="F123" s="2"/>
      <c r="G123" s="2"/>
      <c r="H123" s="2" t="str">
        <f>IF(OR(F123="",G123=""),"",IF(F123&gt;G123,"Over limit",IF(F123=G123,"Last round","Within limit")))</f>
        <v/>
      </c>
      <c r="I123" s="2"/>
      <c r="J123" s="2"/>
      <c r="K123" s="2"/>
      <c r="L123" s="3"/>
      <c r="M123" s="2"/>
    </row>
    <row r="124" spans="1:13">
      <c r="A124" s="2"/>
      <c r="B124" s="2"/>
      <c r="C124" s="2"/>
      <c r="D124" s="2"/>
      <c r="E124" s="3"/>
      <c r="F124" s="2"/>
      <c r="G124" s="2"/>
      <c r="H124" s="2" t="str">
        <f>IF(OR(F124="",G124=""),"",IF(F124&gt;G124,"Over limit",IF(F124=G124,"Last round","Within limit")))</f>
        <v/>
      </c>
      <c r="I124" s="2"/>
      <c r="J124" s="2"/>
      <c r="K124" s="2"/>
      <c r="L124" s="3"/>
      <c r="M124" s="2"/>
    </row>
    <row r="125" spans="1:13">
      <c r="A125" s="2"/>
      <c r="B125" s="2"/>
      <c r="C125" s="2"/>
      <c r="D125" s="2"/>
      <c r="E125" s="3"/>
      <c r="F125" s="2"/>
      <c r="G125" s="2"/>
      <c r="H125" s="2" t="str">
        <f>IF(OR(F125="",G125=""),"",IF(F125&gt;G125,"Over limit",IF(F125=G125,"Last round","Within limit")))</f>
        <v/>
      </c>
      <c r="I125" s="2"/>
      <c r="J125" s="2"/>
      <c r="K125" s="2"/>
      <c r="L125" s="3"/>
      <c r="M125" s="2"/>
    </row>
    <row r="126" spans="1:13">
      <c r="A126" s="2"/>
      <c r="B126" s="2"/>
      <c r="C126" s="2"/>
      <c r="D126" s="2"/>
      <c r="E126" s="3"/>
      <c r="F126" s="2"/>
      <c r="G126" s="2"/>
      <c r="H126" s="2" t="str">
        <f>IF(OR(F126="",G126=""),"",IF(F126&gt;G126,"Over limit",IF(F126=G126,"Last round","Within limit")))</f>
        <v/>
      </c>
      <c r="I126" s="2"/>
      <c r="J126" s="2"/>
      <c r="K126" s="2"/>
      <c r="L126" s="3"/>
      <c r="M126" s="2"/>
    </row>
    <row r="127" spans="1:13">
      <c r="A127" s="2"/>
      <c r="B127" s="2"/>
      <c r="C127" s="2"/>
      <c r="D127" s="2"/>
      <c r="E127" s="3"/>
      <c r="F127" s="2"/>
      <c r="G127" s="2"/>
      <c r="H127" s="2" t="str">
        <f>IF(OR(F127="",G127=""),"",IF(F127&gt;G127,"Over limit",IF(F127=G127,"Last round","Within limit")))</f>
        <v/>
      </c>
      <c r="I127" s="2"/>
      <c r="J127" s="2"/>
      <c r="K127" s="2"/>
      <c r="L127" s="3"/>
      <c r="M127" s="2"/>
    </row>
    <row r="128" spans="1:13">
      <c r="A128" s="2"/>
      <c r="B128" s="2"/>
      <c r="C128" s="2"/>
      <c r="D128" s="2"/>
      <c r="E128" s="3"/>
      <c r="F128" s="2"/>
      <c r="G128" s="2"/>
      <c r="H128" s="2" t="str">
        <f>IF(OR(F128="",G128=""),"",IF(F128&gt;G128,"Over limit",IF(F128=G128,"Last round","Within limit")))</f>
        <v/>
      </c>
      <c r="I128" s="2"/>
      <c r="J128" s="2"/>
      <c r="K128" s="2"/>
      <c r="L128" s="3"/>
      <c r="M128" s="2"/>
    </row>
    <row r="129" spans="1:13">
      <c r="A129" s="2"/>
      <c r="B129" s="2"/>
      <c r="C129" s="2"/>
      <c r="D129" s="2"/>
      <c r="E129" s="3"/>
      <c r="F129" s="2"/>
      <c r="G129" s="2"/>
      <c r="H129" s="2" t="str">
        <f>IF(OR(F129="",G129=""),"",IF(F129&gt;G129,"Over limit",IF(F129=G129,"Last round","Within limit")))</f>
        <v/>
      </c>
      <c r="I129" s="2"/>
      <c r="J129" s="2"/>
      <c r="K129" s="2"/>
      <c r="L129" s="3"/>
      <c r="M129" s="2"/>
    </row>
    <row r="130" spans="1:13">
      <c r="A130" s="2"/>
      <c r="B130" s="2"/>
      <c r="C130" s="2"/>
      <c r="D130" s="2"/>
      <c r="E130" s="3"/>
      <c r="F130" s="2"/>
      <c r="G130" s="2"/>
      <c r="H130" s="2" t="str">
        <f>IF(OR(F130="",G130=""),"",IF(F130&gt;G130,"Over limit",IF(F130=G130,"Last round","Within limit")))</f>
        <v/>
      </c>
      <c r="I130" s="2"/>
      <c r="J130" s="2"/>
      <c r="K130" s="2"/>
      <c r="L130" s="3"/>
      <c r="M130" s="2"/>
    </row>
    <row r="131" spans="1:13">
      <c r="A131" s="2"/>
      <c r="B131" s="2"/>
      <c r="C131" s="2"/>
      <c r="D131" s="2"/>
      <c r="E131" s="3"/>
      <c r="F131" s="2"/>
      <c r="G131" s="2"/>
      <c r="H131" s="2" t="str">
        <f>IF(OR(F131="",G131=""),"",IF(F131&gt;G131,"Over limit",IF(F131=G131,"Last round","Within limit")))</f>
        <v/>
      </c>
      <c r="I131" s="2"/>
      <c r="J131" s="2"/>
      <c r="K131" s="2"/>
      <c r="L131" s="3"/>
      <c r="M131" s="2"/>
    </row>
    <row r="132" spans="1:13">
      <c r="A132" s="2"/>
      <c r="B132" s="2"/>
      <c r="C132" s="2"/>
      <c r="D132" s="2"/>
      <c r="E132" s="3"/>
      <c r="F132" s="2"/>
      <c r="G132" s="2"/>
      <c r="H132" s="2" t="str">
        <f>IF(OR(F132="",G132=""),"",IF(F132&gt;G132,"Over limit",IF(F132=G132,"Last round","Within limit")))</f>
        <v/>
      </c>
      <c r="I132" s="2"/>
      <c r="J132" s="2"/>
      <c r="K132" s="2"/>
      <c r="L132" s="3"/>
      <c r="M132" s="2"/>
    </row>
    <row r="133" spans="1:13">
      <c r="A133" s="2"/>
      <c r="B133" s="2"/>
      <c r="C133" s="2"/>
      <c r="D133" s="2"/>
      <c r="E133" s="3"/>
      <c r="F133" s="2"/>
      <c r="G133" s="2"/>
      <c r="H133" s="2" t="str">
        <f>IF(OR(F133="",G133=""),"",IF(F133&gt;G133,"Over limit",IF(F133=G133,"Last round","Within limit")))</f>
        <v/>
      </c>
      <c r="I133" s="2"/>
      <c r="J133" s="2"/>
      <c r="K133" s="2"/>
      <c r="L133" s="3"/>
      <c r="M133" s="2"/>
    </row>
    <row r="134" spans="1:13">
      <c r="A134" s="2"/>
      <c r="B134" s="2"/>
      <c r="C134" s="2"/>
      <c r="D134" s="2"/>
      <c r="E134" s="3"/>
      <c r="F134" s="2"/>
      <c r="G134" s="2"/>
      <c r="H134" s="2" t="str">
        <f>IF(OR(F134="",G134=""),"",IF(F134&gt;G134,"Over limit",IF(F134=G134,"Last round","Within limit")))</f>
        <v/>
      </c>
      <c r="I134" s="2"/>
      <c r="J134" s="2"/>
      <c r="K134" s="2"/>
      <c r="L134" s="3"/>
      <c r="M134" s="2"/>
    </row>
    <row r="135" spans="1:13">
      <c r="A135" s="2"/>
      <c r="B135" s="2"/>
      <c r="C135" s="2"/>
      <c r="D135" s="2"/>
      <c r="E135" s="3"/>
      <c r="F135" s="2"/>
      <c r="G135" s="2"/>
      <c r="H135" s="2" t="str">
        <f>IF(OR(F135="",G135=""),"",IF(F135&gt;G135,"Over limit",IF(F135=G135,"Last round","Within limit")))</f>
        <v/>
      </c>
      <c r="I135" s="2"/>
      <c r="J135" s="2"/>
      <c r="K135" s="2"/>
      <c r="L135" s="3"/>
      <c r="M135" s="2"/>
    </row>
    <row r="136" spans="1:13">
      <c r="A136" s="2"/>
      <c r="B136" s="2"/>
      <c r="C136" s="2"/>
      <c r="D136" s="2"/>
      <c r="E136" s="3"/>
      <c r="F136" s="2"/>
      <c r="G136" s="2"/>
      <c r="H136" s="2" t="str">
        <f>IF(OR(F136="",G136=""),"",IF(F136&gt;G136,"Over limit",IF(F136=G136,"Last round","Within limit")))</f>
        <v/>
      </c>
      <c r="I136" s="2"/>
      <c r="J136" s="2"/>
      <c r="K136" s="2"/>
      <c r="L136" s="3"/>
      <c r="M136" s="2"/>
    </row>
    <row r="137" spans="1:13">
      <c r="A137" s="2"/>
      <c r="B137" s="2"/>
      <c r="C137" s="2"/>
      <c r="D137" s="2"/>
      <c r="E137" s="3"/>
      <c r="F137" s="2"/>
      <c r="G137" s="2"/>
      <c r="H137" s="2" t="str">
        <f>IF(OR(F137="",G137=""),"",IF(F137&gt;G137,"Over limit",IF(F137=G137,"Last round","Within limit")))</f>
        <v/>
      </c>
      <c r="I137" s="2"/>
      <c r="J137" s="2"/>
      <c r="K137" s="2"/>
      <c r="L137" s="3"/>
      <c r="M137" s="2"/>
    </row>
    <row r="138" spans="1:13">
      <c r="A138" s="2"/>
      <c r="B138" s="2"/>
      <c r="C138" s="2"/>
      <c r="D138" s="2"/>
      <c r="E138" s="3"/>
      <c r="F138" s="2"/>
      <c r="G138" s="2"/>
      <c r="H138" s="2" t="str">
        <f>IF(OR(F138="",G138=""),"",IF(F138&gt;G138,"Over limit",IF(F138=G138,"Last round","Within limit")))</f>
        <v/>
      </c>
      <c r="I138" s="2"/>
      <c r="J138" s="2"/>
      <c r="K138" s="2"/>
      <c r="L138" s="3"/>
      <c r="M138" s="2"/>
    </row>
    <row r="139" spans="1:13">
      <c r="A139" s="2"/>
      <c r="B139" s="2"/>
      <c r="C139" s="2"/>
      <c r="D139" s="2"/>
      <c r="E139" s="3"/>
      <c r="F139" s="2"/>
      <c r="G139" s="2"/>
      <c r="H139" s="2" t="str">
        <f>IF(OR(F139="",G139=""),"",IF(F139&gt;G139,"Over limit",IF(F139=G139,"Last round","Within limit")))</f>
        <v/>
      </c>
      <c r="I139" s="2"/>
      <c r="J139" s="2"/>
      <c r="K139" s="2"/>
      <c r="L139" s="3"/>
      <c r="M139" s="2"/>
    </row>
    <row r="140" spans="1:13">
      <c r="A140" s="2"/>
      <c r="B140" s="2"/>
      <c r="C140" s="2"/>
      <c r="D140" s="2"/>
      <c r="E140" s="3"/>
      <c r="F140" s="2"/>
      <c r="G140" s="2"/>
      <c r="H140" s="2" t="str">
        <f>IF(OR(F140="",G140=""),"",IF(F140&gt;G140,"Over limit",IF(F140=G140,"Last round","Within limit")))</f>
        <v/>
      </c>
      <c r="I140" s="2"/>
      <c r="J140" s="2"/>
      <c r="K140" s="2"/>
      <c r="L140" s="3"/>
      <c r="M140" s="2"/>
    </row>
    <row r="141" spans="1:13">
      <c r="A141" s="2"/>
      <c r="B141" s="2"/>
      <c r="C141" s="2"/>
      <c r="D141" s="2"/>
      <c r="E141" s="3"/>
      <c r="F141" s="2"/>
      <c r="G141" s="2"/>
      <c r="H141" s="2" t="str">
        <f>IF(OR(F141="",G141=""),"",IF(F141&gt;G141,"Over limit",IF(F141=G141,"Last round","Within limit")))</f>
        <v/>
      </c>
      <c r="I141" s="2"/>
      <c r="J141" s="2"/>
      <c r="K141" s="2"/>
      <c r="L141" s="3"/>
      <c r="M141" s="2"/>
    </row>
    <row r="142" spans="1:13">
      <c r="A142" s="2"/>
      <c r="B142" s="2"/>
      <c r="C142" s="2"/>
      <c r="D142" s="2"/>
      <c r="E142" s="3"/>
      <c r="F142" s="2"/>
      <c r="G142" s="2"/>
      <c r="H142" s="2" t="str">
        <f>IF(OR(F142="",G142=""),"",IF(F142&gt;G142,"Over limit",IF(F142=G142,"Last round","Within limit")))</f>
        <v/>
      </c>
      <c r="I142" s="2"/>
      <c r="J142" s="2"/>
      <c r="K142" s="2"/>
      <c r="L142" s="3"/>
      <c r="M142" s="2"/>
    </row>
    <row r="143" spans="1:13">
      <c r="A143" s="2"/>
      <c r="B143" s="2"/>
      <c r="C143" s="2"/>
      <c r="D143" s="2"/>
      <c r="E143" s="3"/>
      <c r="F143" s="2"/>
      <c r="G143" s="2"/>
      <c r="H143" s="2" t="str">
        <f>IF(OR(F143="",G143=""),"",IF(F143&gt;G143,"Over limit",IF(F143=G143,"Last round","Within limit")))</f>
        <v/>
      </c>
      <c r="I143" s="2"/>
      <c r="J143" s="2"/>
      <c r="K143" s="2"/>
      <c r="L143" s="3"/>
      <c r="M143" s="2"/>
    </row>
    <row r="144" spans="1:13">
      <c r="A144" s="2"/>
      <c r="B144" s="2"/>
      <c r="C144" s="2"/>
      <c r="D144" s="2"/>
      <c r="E144" s="3"/>
      <c r="F144" s="2"/>
      <c r="G144" s="2"/>
      <c r="H144" s="2" t="str">
        <f>IF(OR(F144="",G144=""),"",IF(F144&gt;G144,"Over limit",IF(F144=G144,"Last round","Within limit")))</f>
        <v/>
      </c>
      <c r="I144" s="2"/>
      <c r="J144" s="2"/>
      <c r="K144" s="2"/>
      <c r="L144" s="3"/>
      <c r="M144" s="2"/>
    </row>
    <row r="145" spans="1:13">
      <c r="A145" s="2"/>
      <c r="B145" s="2"/>
      <c r="C145" s="2"/>
      <c r="D145" s="2"/>
      <c r="E145" s="3"/>
      <c r="F145" s="2"/>
      <c r="G145" s="2"/>
      <c r="H145" s="2" t="str">
        <f>IF(OR(F145="",G145=""),"",IF(F145&gt;G145,"Over limit",IF(F145=G145,"Last round","Within limit")))</f>
        <v/>
      </c>
      <c r="I145" s="2"/>
      <c r="J145" s="2"/>
      <c r="K145" s="2"/>
      <c r="L145" s="3"/>
      <c r="M145" s="2"/>
    </row>
    <row r="146" spans="1:13">
      <c r="A146" s="2"/>
      <c r="B146" s="2"/>
      <c r="C146" s="2"/>
      <c r="D146" s="2"/>
      <c r="E146" s="3"/>
      <c r="F146" s="2"/>
      <c r="G146" s="2"/>
      <c r="H146" s="2" t="str">
        <f>IF(OR(F146="",G146=""),"",IF(F146&gt;G146,"Over limit",IF(F146=G146,"Last round","Within limit")))</f>
        <v/>
      </c>
      <c r="I146" s="2"/>
      <c r="J146" s="2"/>
      <c r="K146" s="2"/>
      <c r="L146" s="3"/>
      <c r="M146" s="2"/>
    </row>
    <row r="147" spans="1:13">
      <c r="A147" s="2"/>
      <c r="B147" s="2"/>
      <c r="C147" s="2"/>
      <c r="D147" s="2"/>
      <c r="E147" s="3"/>
      <c r="F147" s="2"/>
      <c r="G147" s="2"/>
      <c r="H147" s="2" t="str">
        <f>IF(OR(F147="",G147=""),"",IF(F147&gt;G147,"Over limit",IF(F147=G147,"Last round","Within limit")))</f>
        <v/>
      </c>
      <c r="I147" s="2"/>
      <c r="J147" s="2"/>
      <c r="K147" s="2"/>
      <c r="L147" s="3"/>
      <c r="M147" s="2"/>
    </row>
    <row r="148" spans="1:13">
      <c r="A148" s="2"/>
      <c r="B148" s="2"/>
      <c r="C148" s="2"/>
      <c r="D148" s="2"/>
      <c r="E148" s="3"/>
      <c r="F148" s="2"/>
      <c r="G148" s="2"/>
      <c r="H148" s="2" t="str">
        <f>IF(OR(F148="",G148=""),"",IF(F148&gt;G148,"Over limit",IF(F148=G148,"Last round","Within limit")))</f>
        <v/>
      </c>
      <c r="I148" s="2"/>
      <c r="J148" s="2"/>
      <c r="K148" s="2"/>
      <c r="L148" s="3"/>
      <c r="M148" s="2"/>
    </row>
    <row r="149" spans="1:13">
      <c r="A149" s="2"/>
      <c r="B149" s="2"/>
      <c r="C149" s="2"/>
      <c r="D149" s="2"/>
      <c r="E149" s="3"/>
      <c r="F149" s="2"/>
      <c r="G149" s="2"/>
      <c r="H149" s="2" t="str">
        <f>IF(OR(F149="",G149=""),"",IF(F149&gt;G149,"Over limit",IF(F149=G149,"Last round","Within limit")))</f>
        <v/>
      </c>
      <c r="I149" s="2"/>
      <c r="J149" s="2"/>
      <c r="K149" s="2"/>
      <c r="L149" s="3"/>
      <c r="M149" s="2"/>
    </row>
    <row r="150" spans="1:13">
      <c r="A150" s="2"/>
      <c r="B150" s="2"/>
      <c r="C150" s="2"/>
      <c r="D150" s="2"/>
      <c r="E150" s="3"/>
      <c r="F150" s="2"/>
      <c r="G150" s="2"/>
      <c r="H150" s="2" t="str">
        <f>IF(OR(F150="",G150=""),"",IF(F150&gt;G150,"Over limit",IF(F150=G150,"Last round","Within limit")))</f>
        <v/>
      </c>
      <c r="I150" s="2"/>
      <c r="J150" s="2"/>
      <c r="K150" s="2"/>
      <c r="L150" s="3"/>
      <c r="M150" s="2"/>
    </row>
    <row r="151" spans="1:13">
      <c r="A151" s="2"/>
      <c r="B151" s="2"/>
      <c r="C151" s="2"/>
      <c r="D151" s="2"/>
      <c r="E151" s="3"/>
      <c r="F151" s="2"/>
      <c r="G151" s="2"/>
      <c r="H151" s="2" t="str">
        <f>IF(OR(F151="",G151=""),"",IF(F151&gt;G151,"Over limit",IF(F151=G151,"Last round","Within limit")))</f>
        <v/>
      </c>
      <c r="I151" s="2"/>
      <c r="J151" s="2"/>
      <c r="K151" s="2"/>
      <c r="L151" s="3"/>
      <c r="M151" s="2"/>
    </row>
    <row r="152" spans="1:13">
      <c r="A152" s="2"/>
      <c r="B152" s="2"/>
      <c r="C152" s="2"/>
      <c r="D152" s="2"/>
      <c r="E152" s="3"/>
      <c r="F152" s="2"/>
      <c r="G152" s="2"/>
      <c r="H152" s="2" t="str">
        <f>IF(OR(F152="",G152=""),"",IF(F152&gt;G152,"Over limit",IF(F152=G152,"Last round","Within limit")))</f>
        <v/>
      </c>
      <c r="I152" s="2"/>
      <c r="J152" s="2"/>
      <c r="K152" s="2"/>
      <c r="L152" s="3"/>
      <c r="M152" s="2"/>
    </row>
    <row r="153" spans="1:13">
      <c r="A153" s="2"/>
      <c r="B153" s="2"/>
      <c r="C153" s="2"/>
      <c r="D153" s="2"/>
      <c r="E153" s="3"/>
      <c r="F153" s="2"/>
      <c r="G153" s="2"/>
      <c r="H153" s="2" t="str">
        <f>IF(OR(F153="",G153=""),"",IF(F153&gt;G153,"Over limit",IF(F153=G153,"Last round","Within limit")))</f>
        <v/>
      </c>
      <c r="I153" s="2"/>
      <c r="J153" s="2"/>
      <c r="K153" s="2"/>
      <c r="L153" s="3"/>
      <c r="M153" s="2"/>
    </row>
    <row r="154" spans="1:13">
      <c r="A154" s="2"/>
      <c r="B154" s="2"/>
      <c r="C154" s="2"/>
      <c r="D154" s="2"/>
      <c r="E154" s="3"/>
      <c r="F154" s="2"/>
      <c r="G154" s="2"/>
      <c r="H154" s="2" t="str">
        <f>IF(OR(F154="",G154=""),"",IF(F154&gt;G154,"Over limit",IF(F154=G154,"Last round","Within limit")))</f>
        <v/>
      </c>
      <c r="I154" s="2"/>
      <c r="J154" s="2"/>
      <c r="K154" s="2"/>
      <c r="L154" s="3"/>
      <c r="M154" s="2"/>
    </row>
    <row r="155" spans="1:13">
      <c r="A155" s="2"/>
      <c r="B155" s="2"/>
      <c r="C155" s="2"/>
      <c r="D155" s="2"/>
      <c r="E155" s="3"/>
      <c r="F155" s="2"/>
      <c r="G155" s="2"/>
      <c r="H155" s="2" t="str">
        <f>IF(OR(F155="",G155=""),"",IF(F155&gt;G155,"Over limit",IF(F155=G155,"Last round","Within limit")))</f>
        <v/>
      </c>
      <c r="I155" s="2"/>
      <c r="J155" s="2"/>
      <c r="K155" s="2"/>
      <c r="L155" s="3"/>
      <c r="M155" s="2"/>
    </row>
    <row r="156" spans="1:13">
      <c r="A156" s="2"/>
      <c r="B156" s="2"/>
      <c r="C156" s="2"/>
      <c r="D156" s="2"/>
      <c r="E156" s="3"/>
      <c r="F156" s="2"/>
      <c r="G156" s="2"/>
      <c r="H156" s="2" t="str">
        <f>IF(OR(F156="",G156=""),"",IF(F156&gt;G156,"Over limit",IF(F156=G156,"Last round","Within limit")))</f>
        <v/>
      </c>
      <c r="I156" s="2"/>
      <c r="J156" s="2"/>
      <c r="K156" s="2"/>
      <c r="L156" s="3"/>
      <c r="M156" s="2"/>
    </row>
    <row r="157" spans="1:13">
      <c r="A157" s="2"/>
      <c r="B157" s="2"/>
      <c r="C157" s="2"/>
      <c r="D157" s="2"/>
      <c r="E157" s="3"/>
      <c r="F157" s="2"/>
      <c r="G157" s="2"/>
      <c r="H157" s="2" t="str">
        <f>IF(OR(F157="",G157=""),"",IF(F157&gt;G157,"Over limit",IF(F157=G157,"Last round","Within limit")))</f>
        <v/>
      </c>
      <c r="I157" s="2"/>
      <c r="J157" s="2"/>
      <c r="K157" s="2"/>
      <c r="L157" s="3"/>
      <c r="M157" s="2"/>
    </row>
    <row r="158" spans="1:13">
      <c r="A158" s="2"/>
      <c r="B158" s="2"/>
      <c r="C158" s="2"/>
      <c r="D158" s="2"/>
      <c r="E158" s="3"/>
      <c r="F158" s="2"/>
      <c r="G158" s="2"/>
      <c r="H158" s="2" t="str">
        <f>IF(OR(F158="",G158=""),"",IF(F158&gt;G158,"Over limit",IF(F158=G158,"Last round","Within limit")))</f>
        <v/>
      </c>
      <c r="I158" s="2"/>
      <c r="J158" s="2"/>
      <c r="K158" s="2"/>
      <c r="L158" s="3"/>
      <c r="M158" s="2"/>
    </row>
    <row r="159" spans="1:13">
      <c r="A159" s="2"/>
      <c r="B159" s="2"/>
      <c r="C159" s="2"/>
      <c r="D159" s="2"/>
      <c r="E159" s="3"/>
      <c r="F159" s="2"/>
      <c r="G159" s="2"/>
      <c r="H159" s="2" t="str">
        <f>IF(OR(F159="",G159=""),"",IF(F159&gt;G159,"Over limit",IF(F159=G159,"Last round","Within limit")))</f>
        <v/>
      </c>
      <c r="I159" s="2"/>
      <c r="J159" s="2"/>
      <c r="K159" s="2"/>
      <c r="L159" s="3"/>
      <c r="M159" s="2"/>
    </row>
    <row r="160" spans="1:13">
      <c r="A160" s="2"/>
      <c r="B160" s="2"/>
      <c r="C160" s="2"/>
      <c r="D160" s="2"/>
      <c r="E160" s="3"/>
      <c r="F160" s="2"/>
      <c r="G160" s="2"/>
      <c r="H160" s="2" t="str">
        <f>IF(OR(F160="",G160=""),"",IF(F160&gt;G160,"Over limit",IF(F160=G160,"Last round","Within limit")))</f>
        <v/>
      </c>
      <c r="I160" s="2"/>
      <c r="J160" s="2"/>
      <c r="K160" s="2"/>
      <c r="L160" s="3"/>
      <c r="M160" s="2"/>
    </row>
    <row r="161" spans="1:13">
      <c r="A161" s="2"/>
      <c r="B161" s="2"/>
      <c r="C161" s="2"/>
      <c r="D161" s="2"/>
      <c r="E161" s="3"/>
      <c r="F161" s="2"/>
      <c r="G161" s="2"/>
      <c r="H161" s="2" t="str">
        <f>IF(OR(F161="",G161=""),"",IF(F161&gt;G161,"Over limit",IF(F161=G161,"Last round","Within limit")))</f>
        <v/>
      </c>
      <c r="I161" s="2"/>
      <c r="J161" s="2"/>
      <c r="K161" s="2"/>
      <c r="L161" s="3"/>
      <c r="M161" s="2"/>
    </row>
    <row r="162" spans="1:13">
      <c r="A162" s="2"/>
      <c r="B162" s="2"/>
      <c r="C162" s="2"/>
      <c r="D162" s="2"/>
      <c r="E162" s="3"/>
      <c r="F162" s="2"/>
      <c r="G162" s="2"/>
      <c r="H162" s="2" t="str">
        <f>IF(OR(F162="",G162=""),"",IF(F162&gt;G162,"Over limit",IF(F162=G162,"Last round","Within limit")))</f>
        <v/>
      </c>
      <c r="I162" s="2"/>
      <c r="J162" s="2"/>
      <c r="K162" s="2"/>
      <c r="L162" s="3"/>
      <c r="M162" s="2"/>
    </row>
    <row r="163" spans="1:13">
      <c r="A163" s="2"/>
      <c r="B163" s="2"/>
      <c r="C163" s="2"/>
      <c r="D163" s="2"/>
      <c r="E163" s="3"/>
      <c r="F163" s="2"/>
      <c r="G163" s="2"/>
      <c r="H163" s="2" t="str">
        <f>IF(OR(F163="",G163=""),"",IF(F163&gt;G163,"Over limit",IF(F163=G163,"Last round","Within limit")))</f>
        <v/>
      </c>
      <c r="I163" s="2"/>
      <c r="J163" s="2"/>
      <c r="K163" s="2"/>
      <c r="L163" s="3"/>
      <c r="M163" s="2"/>
    </row>
    <row r="164" spans="1:13">
      <c r="A164" s="2"/>
      <c r="B164" s="2"/>
      <c r="C164" s="2"/>
      <c r="D164" s="2"/>
      <c r="E164" s="3"/>
      <c r="F164" s="2"/>
      <c r="G164" s="2"/>
      <c r="H164" s="2" t="str">
        <f>IF(OR(F164="",G164=""),"",IF(F164&gt;G164,"Over limit",IF(F164=G164,"Last round","Within limit")))</f>
        <v/>
      </c>
      <c r="I164" s="2"/>
      <c r="J164" s="2"/>
      <c r="K164" s="2"/>
      <c r="L164" s="3"/>
      <c r="M164" s="2"/>
    </row>
    <row r="165" spans="1:13">
      <c r="A165" s="2"/>
      <c r="B165" s="2"/>
      <c r="C165" s="2"/>
      <c r="D165" s="2"/>
      <c r="E165" s="3"/>
      <c r="F165" s="2"/>
      <c r="G165" s="2"/>
      <c r="H165" s="2" t="str">
        <f>IF(OR(F165="",G165=""),"",IF(F165&gt;G165,"Over limit",IF(F165=G165,"Last round","Within limit")))</f>
        <v/>
      </c>
      <c r="I165" s="2"/>
      <c r="J165" s="2"/>
      <c r="K165" s="2"/>
      <c r="L165" s="3"/>
      <c r="M165" s="2"/>
    </row>
    <row r="166" spans="1:13">
      <c r="A166" s="2"/>
      <c r="B166" s="2"/>
      <c r="C166" s="2"/>
      <c r="D166" s="2"/>
      <c r="E166" s="3"/>
      <c r="F166" s="2"/>
      <c r="G166" s="2"/>
      <c r="H166" s="2" t="str">
        <f>IF(OR(F166="",G166=""),"",IF(F166&gt;G166,"Over limit",IF(F166=G166,"Last round","Within limit")))</f>
        <v/>
      </c>
      <c r="I166" s="2"/>
      <c r="J166" s="2"/>
      <c r="K166" s="2"/>
      <c r="L166" s="3"/>
      <c r="M166" s="2"/>
    </row>
    <row r="167" spans="1:13">
      <c r="A167" s="2"/>
      <c r="B167" s="2"/>
      <c r="C167" s="2"/>
      <c r="D167" s="2"/>
      <c r="E167" s="3"/>
      <c r="F167" s="2"/>
      <c r="G167" s="2"/>
      <c r="H167" s="2" t="str">
        <f>IF(OR(F167="",G167=""),"",IF(F167&gt;G167,"Over limit",IF(F167=G167,"Last round","Within limit")))</f>
        <v/>
      </c>
      <c r="I167" s="2"/>
      <c r="J167" s="2"/>
      <c r="K167" s="2"/>
      <c r="L167" s="3"/>
      <c r="M167" s="2"/>
    </row>
    <row r="168" spans="1:13">
      <c r="A168" s="2"/>
      <c r="B168" s="2"/>
      <c r="C168" s="2"/>
      <c r="D168" s="2"/>
      <c r="E168" s="3"/>
      <c r="F168" s="2"/>
      <c r="G168" s="2"/>
      <c r="H168" s="2" t="str">
        <f>IF(OR(F168="",G168=""),"",IF(F168&gt;G168,"Over limit",IF(F168=G168,"Last round","Within limit")))</f>
        <v/>
      </c>
      <c r="I168" s="2"/>
      <c r="J168" s="2"/>
      <c r="K168" s="2"/>
      <c r="L168" s="3"/>
      <c r="M168" s="2"/>
    </row>
    <row r="169" spans="1:13">
      <c r="A169" s="2"/>
      <c r="B169" s="2"/>
      <c r="C169" s="2"/>
      <c r="D169" s="2"/>
      <c r="E169" s="3"/>
      <c r="F169" s="2"/>
      <c r="G169" s="2"/>
      <c r="H169" s="2" t="str">
        <f>IF(OR(F169="",G169=""),"",IF(F169&gt;G169,"Over limit",IF(F169=G169,"Last round","Within limit")))</f>
        <v/>
      </c>
      <c r="I169" s="2"/>
      <c r="J169" s="2"/>
      <c r="K169" s="2"/>
      <c r="L169" s="3"/>
      <c r="M169" s="2"/>
    </row>
    <row r="170" spans="1:13">
      <c r="A170" s="2"/>
      <c r="B170" s="2"/>
      <c r="C170" s="2"/>
      <c r="D170" s="2"/>
      <c r="E170" s="3"/>
      <c r="F170" s="2"/>
      <c r="G170" s="2"/>
      <c r="H170" s="2" t="str">
        <f>IF(OR(F170="",G170=""),"",IF(F170&gt;G170,"Over limit",IF(F170=G170,"Last round","Within limit")))</f>
        <v/>
      </c>
      <c r="I170" s="2"/>
      <c r="J170" s="2"/>
      <c r="K170" s="2"/>
      <c r="L170" s="3"/>
      <c r="M170" s="2"/>
    </row>
    <row r="171" spans="1:13">
      <c r="A171" s="2"/>
      <c r="B171" s="2"/>
      <c r="C171" s="2"/>
      <c r="D171" s="2"/>
      <c r="E171" s="3"/>
      <c r="F171" s="2"/>
      <c r="G171" s="2"/>
      <c r="H171" s="2" t="str">
        <f>IF(OR(F171="",G171=""),"",IF(F171&gt;G171,"Over limit",IF(F171=G171,"Last round","Within limit")))</f>
        <v/>
      </c>
      <c r="I171" s="2"/>
      <c r="J171" s="2"/>
      <c r="K171" s="2"/>
      <c r="L171" s="3"/>
      <c r="M171" s="2"/>
    </row>
    <row r="172" spans="1:13">
      <c r="A172" s="2"/>
      <c r="B172" s="2"/>
      <c r="C172" s="2"/>
      <c r="D172" s="2"/>
      <c r="E172" s="3"/>
      <c r="F172" s="2"/>
      <c r="G172" s="2"/>
      <c r="H172" s="2" t="str">
        <f>IF(OR(F172="",G172=""),"",IF(F172&gt;G172,"Over limit",IF(F172=G172,"Last round","Within limit")))</f>
        <v/>
      </c>
      <c r="I172" s="2"/>
      <c r="J172" s="2"/>
      <c r="K172" s="2"/>
      <c r="L172" s="3"/>
      <c r="M172" s="2"/>
    </row>
    <row r="173" spans="1:13">
      <c r="A173" s="2"/>
      <c r="B173" s="2"/>
      <c r="C173" s="2"/>
      <c r="D173" s="2"/>
      <c r="E173" s="3"/>
      <c r="F173" s="2"/>
      <c r="G173" s="2"/>
      <c r="H173" s="2" t="str">
        <f>IF(OR(F173="",G173=""),"",IF(F173&gt;G173,"Over limit",IF(F173=G173,"Last round","Within limit")))</f>
        <v/>
      </c>
      <c r="I173" s="2"/>
      <c r="J173" s="2"/>
      <c r="K173" s="2"/>
      <c r="L173" s="3"/>
      <c r="M173" s="2"/>
    </row>
    <row r="174" spans="1:13">
      <c r="A174" s="2"/>
      <c r="B174" s="2"/>
      <c r="C174" s="2"/>
      <c r="D174" s="2"/>
      <c r="E174" s="3"/>
      <c r="F174" s="2"/>
      <c r="G174" s="2"/>
      <c r="H174" s="2" t="str">
        <f>IF(OR(F174="",G174=""),"",IF(F174&gt;G174,"Over limit",IF(F174=G174,"Last round","Within limit")))</f>
        <v/>
      </c>
      <c r="I174" s="2"/>
      <c r="J174" s="2"/>
      <c r="K174" s="2"/>
      <c r="L174" s="3"/>
      <c r="M174" s="2"/>
    </row>
    <row r="175" spans="1:13">
      <c r="A175" s="2"/>
      <c r="B175" s="2"/>
      <c r="C175" s="2"/>
      <c r="D175" s="2"/>
      <c r="E175" s="3"/>
      <c r="F175" s="2"/>
      <c r="G175" s="2"/>
      <c r="H175" s="2" t="str">
        <f>IF(OR(F175="",G175=""),"",IF(F175&gt;G175,"Over limit",IF(F175=G175,"Last round","Within limit")))</f>
        <v/>
      </c>
      <c r="I175" s="2"/>
      <c r="J175" s="2"/>
      <c r="K175" s="2"/>
      <c r="L175" s="3"/>
      <c r="M175" s="2"/>
    </row>
    <row r="176" spans="1:13">
      <c r="A176" s="2"/>
      <c r="B176" s="2"/>
      <c r="C176" s="2"/>
      <c r="D176" s="2"/>
      <c r="E176" s="3"/>
      <c r="F176" s="2"/>
      <c r="G176" s="2"/>
      <c r="H176" s="2" t="str">
        <f>IF(OR(F176="",G176=""),"",IF(F176&gt;G176,"Over limit",IF(F176=G176,"Last round","Within limit")))</f>
        <v/>
      </c>
      <c r="I176" s="2"/>
      <c r="J176" s="2"/>
      <c r="K176" s="2"/>
      <c r="L176" s="3"/>
      <c r="M176" s="2"/>
    </row>
    <row r="177" spans="1:13">
      <c r="A177" s="2"/>
      <c r="B177" s="2"/>
      <c r="C177" s="2"/>
      <c r="D177" s="2"/>
      <c r="E177" s="3"/>
      <c r="F177" s="2"/>
      <c r="G177" s="2"/>
      <c r="H177" s="2" t="str">
        <f>IF(OR(F177="",G177=""),"",IF(F177&gt;G177,"Over limit",IF(F177=G177,"Last round","Within limit")))</f>
        <v/>
      </c>
      <c r="I177" s="2"/>
      <c r="J177" s="2"/>
      <c r="K177" s="2"/>
      <c r="L177" s="3"/>
      <c r="M177" s="2"/>
    </row>
    <row r="178" spans="1:13">
      <c r="A178" s="2"/>
      <c r="B178" s="2"/>
      <c r="C178" s="2"/>
      <c r="D178" s="2"/>
      <c r="E178" s="3"/>
      <c r="F178" s="2"/>
      <c r="G178" s="2"/>
      <c r="H178" s="2" t="str">
        <f>IF(OR(F178="",G178=""),"",IF(F178&gt;G178,"Over limit",IF(F178=G178,"Last round","Within limit")))</f>
        <v/>
      </c>
      <c r="I178" s="2"/>
      <c r="J178" s="2"/>
      <c r="K178" s="2"/>
      <c r="L178" s="3"/>
      <c r="M178" s="2"/>
    </row>
    <row r="179" spans="1:13">
      <c r="A179" s="2"/>
      <c r="B179" s="2"/>
      <c r="C179" s="2"/>
      <c r="D179" s="2"/>
      <c r="E179" s="3"/>
      <c r="F179" s="2"/>
      <c r="G179" s="2"/>
      <c r="H179" s="2" t="str">
        <f>IF(OR(F179="",G179=""),"",IF(F179&gt;G179,"Over limit",IF(F179=G179,"Last round","Within limit")))</f>
        <v/>
      </c>
      <c r="I179" s="2"/>
      <c r="J179" s="2"/>
      <c r="K179" s="2"/>
      <c r="L179" s="3"/>
      <c r="M179" s="2"/>
    </row>
    <row r="180" spans="1:13">
      <c r="A180" s="2"/>
      <c r="B180" s="2"/>
      <c r="C180" s="2"/>
      <c r="D180" s="2"/>
      <c r="E180" s="3"/>
      <c r="F180" s="2"/>
      <c r="G180" s="2"/>
      <c r="H180" s="2" t="str">
        <f>IF(OR(F180="",G180=""),"",IF(F180&gt;G180,"Over limit",IF(F180=G180,"Last round","Within limit")))</f>
        <v/>
      </c>
      <c r="I180" s="2"/>
      <c r="J180" s="2"/>
      <c r="K180" s="2"/>
      <c r="L180" s="3"/>
      <c r="M180" s="2"/>
    </row>
    <row r="181" spans="1:13">
      <c r="A181" s="2"/>
      <c r="B181" s="2"/>
      <c r="C181" s="2"/>
      <c r="D181" s="2"/>
      <c r="E181" s="3"/>
      <c r="F181" s="2"/>
      <c r="G181" s="2"/>
      <c r="H181" s="2" t="str">
        <f>IF(OR(F181="",G181=""),"",IF(F181&gt;G181,"Over limit",IF(F181=G181,"Last round","Within limit")))</f>
        <v/>
      </c>
      <c r="I181" s="2"/>
      <c r="J181" s="2"/>
      <c r="K181" s="2"/>
      <c r="L181" s="3"/>
      <c r="M181" s="2"/>
    </row>
    <row r="182" spans="1:13">
      <c r="A182" s="2"/>
      <c r="B182" s="2"/>
      <c r="C182" s="2"/>
      <c r="D182" s="2"/>
      <c r="E182" s="3"/>
      <c r="F182" s="2"/>
      <c r="G182" s="2"/>
      <c r="H182" s="2" t="str">
        <f>IF(OR(F182="",G182=""),"",IF(F182&gt;G182,"Over limit",IF(F182=G182,"Last round","Within limit")))</f>
        <v/>
      </c>
      <c r="I182" s="2"/>
      <c r="J182" s="2"/>
      <c r="K182" s="2"/>
      <c r="L182" s="3"/>
      <c r="M182" s="2"/>
    </row>
    <row r="183" spans="1:13">
      <c r="A183" s="2"/>
      <c r="B183" s="2"/>
      <c r="C183" s="2"/>
      <c r="D183" s="2"/>
      <c r="E183" s="3"/>
      <c r="F183" s="2"/>
      <c r="G183" s="2"/>
      <c r="H183" s="2" t="str">
        <f>IF(OR(F183="",G183=""),"",IF(F183&gt;G183,"Over limit",IF(F183=G183,"Last round","Within limit")))</f>
        <v/>
      </c>
      <c r="I183" s="2"/>
      <c r="J183" s="2"/>
      <c r="K183" s="2"/>
      <c r="L183" s="3"/>
      <c r="M183" s="2"/>
    </row>
    <row r="184" spans="1:13">
      <c r="A184" s="2"/>
      <c r="B184" s="2"/>
      <c r="C184" s="2"/>
      <c r="D184" s="2"/>
      <c r="E184" s="3"/>
      <c r="F184" s="2"/>
      <c r="G184" s="2"/>
      <c r="H184" s="2" t="str">
        <f>IF(OR(F184="",G184=""),"",IF(F184&gt;G184,"Over limit",IF(F184=G184,"Last round","Within limit")))</f>
        <v/>
      </c>
      <c r="I184" s="2"/>
      <c r="J184" s="2"/>
      <c r="K184" s="2"/>
      <c r="L184" s="3"/>
      <c r="M184" s="2"/>
    </row>
    <row r="185" spans="1:13">
      <c r="A185" s="2"/>
      <c r="B185" s="2"/>
      <c r="C185" s="2"/>
      <c r="D185" s="2"/>
      <c r="E185" s="3"/>
      <c r="F185" s="2"/>
      <c r="G185" s="2"/>
      <c r="H185" s="2" t="str">
        <f>IF(OR(F185="",G185=""),"",IF(F185&gt;G185,"Over limit",IF(F185=G185,"Last round","Within limit")))</f>
        <v/>
      </c>
      <c r="I185" s="2"/>
      <c r="J185" s="2"/>
      <c r="K185" s="2"/>
      <c r="L185" s="3"/>
      <c r="M185" s="2"/>
    </row>
    <row r="186" spans="1:13">
      <c r="A186" s="2"/>
      <c r="B186" s="2"/>
      <c r="C186" s="2"/>
      <c r="D186" s="2"/>
      <c r="E186" s="3"/>
      <c r="F186" s="2"/>
      <c r="G186" s="2"/>
      <c r="H186" s="2" t="str">
        <f>IF(OR(F186="",G186=""),"",IF(F186&gt;G186,"Over limit",IF(F186=G186,"Last round","Within limit")))</f>
        <v/>
      </c>
      <c r="I186" s="2"/>
      <c r="J186" s="2"/>
      <c r="K186" s="2"/>
      <c r="L186" s="3"/>
      <c r="M186" s="2"/>
    </row>
    <row r="187" spans="1:13">
      <c r="A187" s="2"/>
      <c r="B187" s="2"/>
      <c r="C187" s="2"/>
      <c r="D187" s="2"/>
      <c r="E187" s="3"/>
      <c r="F187" s="2"/>
      <c r="G187" s="2"/>
      <c r="H187" s="2" t="str">
        <f>IF(OR(F187="",G187=""),"",IF(F187&gt;G187,"Over limit",IF(F187=G187,"Last round","Within limit")))</f>
        <v/>
      </c>
      <c r="I187" s="2"/>
      <c r="J187" s="2"/>
      <c r="K187" s="2"/>
      <c r="L187" s="3"/>
      <c r="M187" s="2"/>
    </row>
    <row r="188" spans="1:13">
      <c r="A188" s="2"/>
      <c r="B188" s="2"/>
      <c r="C188" s="2"/>
      <c r="D188" s="2"/>
      <c r="E188" s="3"/>
      <c r="F188" s="2"/>
      <c r="G188" s="2"/>
      <c r="H188" s="2" t="str">
        <f>IF(OR(F188="",G188=""),"",IF(F188&gt;G188,"Over limit",IF(F188=G188,"Last round","Within limit")))</f>
        <v/>
      </c>
      <c r="I188" s="2"/>
      <c r="J188" s="2"/>
      <c r="K188" s="2"/>
      <c r="L188" s="3"/>
      <c r="M188" s="2"/>
    </row>
    <row r="189" spans="1:13">
      <c r="A189" s="2"/>
      <c r="B189" s="2"/>
      <c r="C189" s="2"/>
      <c r="D189" s="2"/>
      <c r="E189" s="3"/>
      <c r="F189" s="2"/>
      <c r="G189" s="2"/>
      <c r="H189" s="2" t="str">
        <f>IF(OR(F189="",G189=""),"",IF(F189&gt;G189,"Over limit",IF(F189=G189,"Last round","Within limit")))</f>
        <v/>
      </c>
      <c r="I189" s="2"/>
      <c r="J189" s="2"/>
      <c r="K189" s="2"/>
      <c r="L189" s="3"/>
      <c r="M189" s="2"/>
    </row>
    <row r="190" spans="1:13">
      <c r="A190" s="2"/>
      <c r="B190" s="2"/>
      <c r="C190" s="2"/>
      <c r="D190" s="2"/>
      <c r="E190" s="3"/>
      <c r="F190" s="2"/>
      <c r="G190" s="2"/>
      <c r="H190" s="2" t="str">
        <f>IF(OR(F190="",G190=""),"",IF(F190&gt;G190,"Over limit",IF(F190=G190,"Last round","Within limit")))</f>
        <v/>
      </c>
      <c r="I190" s="2"/>
      <c r="J190" s="2"/>
      <c r="K190" s="2"/>
      <c r="L190" s="3"/>
      <c r="M190" s="2"/>
    </row>
    <row r="191" spans="1:13">
      <c r="A191" s="2"/>
      <c r="B191" s="2"/>
      <c r="C191" s="2"/>
      <c r="D191" s="2"/>
      <c r="E191" s="3"/>
      <c r="F191" s="2"/>
      <c r="G191" s="2"/>
      <c r="H191" s="2" t="str">
        <f>IF(OR(F191="",G191=""),"",IF(F191&gt;G191,"Over limit",IF(F191=G191,"Last round","Within limit")))</f>
        <v/>
      </c>
      <c r="I191" s="2"/>
      <c r="J191" s="2"/>
      <c r="K191" s="2"/>
      <c r="L191" s="3"/>
      <c r="M191" s="2"/>
    </row>
    <row r="192" spans="1:13">
      <c r="A192" s="2"/>
      <c r="B192" s="2"/>
      <c r="C192" s="2"/>
      <c r="D192" s="2"/>
      <c r="E192" s="3"/>
      <c r="F192" s="2"/>
      <c r="G192" s="2"/>
      <c r="H192" s="2" t="str">
        <f>IF(OR(F192="",G192=""),"",IF(F192&gt;G192,"Over limit",IF(F192=G192,"Last round","Within limit")))</f>
        <v/>
      </c>
      <c r="I192" s="2"/>
      <c r="J192" s="2"/>
      <c r="K192" s="2"/>
      <c r="L192" s="3"/>
      <c r="M192" s="2"/>
    </row>
    <row r="193" spans="1:13">
      <c r="A193" s="2"/>
      <c r="B193" s="2"/>
      <c r="C193" s="2"/>
      <c r="D193" s="2"/>
      <c r="E193" s="3"/>
      <c r="F193" s="2"/>
      <c r="G193" s="2"/>
      <c r="H193" s="2" t="str">
        <f>IF(OR(F193="",G193=""),"",IF(F193&gt;G193,"Over limit",IF(F193=G193,"Last round","Within limit")))</f>
        <v/>
      </c>
      <c r="I193" s="2"/>
      <c r="J193" s="2"/>
      <c r="K193" s="2"/>
      <c r="L193" s="3"/>
      <c r="M193" s="2"/>
    </row>
    <row r="194" spans="1:13">
      <c r="A194" s="2"/>
      <c r="B194" s="2"/>
      <c r="C194" s="2"/>
      <c r="D194" s="2"/>
      <c r="E194" s="3"/>
      <c r="F194" s="2"/>
      <c r="G194" s="2"/>
      <c r="H194" s="2" t="str">
        <f>IF(OR(F194="",G194=""),"",IF(F194&gt;G194,"Over limit",IF(F194=G194,"Last round","Within limit")))</f>
        <v/>
      </c>
      <c r="I194" s="2"/>
      <c r="J194" s="2"/>
      <c r="K194" s="2"/>
      <c r="L194" s="3"/>
      <c r="M194" s="2"/>
    </row>
    <row r="195" spans="1:13">
      <c r="A195" s="2"/>
      <c r="B195" s="2"/>
      <c r="C195" s="2"/>
      <c r="D195" s="2"/>
      <c r="E195" s="3"/>
      <c r="F195" s="2"/>
      <c r="G195" s="2"/>
      <c r="H195" s="2" t="str">
        <f>IF(OR(F195="",G195=""),"",IF(F195&gt;G195,"Over limit",IF(F195=G195,"Last round","Within limit")))</f>
        <v/>
      </c>
      <c r="I195" s="2"/>
      <c r="J195" s="2"/>
      <c r="K195" s="2"/>
      <c r="L195" s="3"/>
      <c r="M195" s="2"/>
    </row>
    <row r="196" spans="1:13">
      <c r="A196" s="2"/>
      <c r="B196" s="2"/>
      <c r="C196" s="2"/>
      <c r="D196" s="2"/>
      <c r="E196" s="3"/>
      <c r="F196" s="2"/>
      <c r="G196" s="2"/>
      <c r="H196" s="2" t="str">
        <f>IF(OR(F196="",G196=""),"",IF(F196&gt;G196,"Over limit",IF(F196=G196,"Last round","Within limit")))</f>
        <v/>
      </c>
      <c r="I196" s="2"/>
      <c r="J196" s="2"/>
      <c r="K196" s="2"/>
      <c r="L196" s="3"/>
      <c r="M196" s="2"/>
    </row>
    <row r="197" spans="1:13">
      <c r="A197" s="2"/>
      <c r="B197" s="2"/>
      <c r="C197" s="2"/>
      <c r="D197" s="2"/>
      <c r="E197" s="3"/>
      <c r="F197" s="2"/>
      <c r="G197" s="2"/>
      <c r="H197" s="2" t="str">
        <f>IF(OR(F197="",G197=""),"",IF(F197&gt;G197,"Over limit",IF(F197=G197,"Last round","Within limit")))</f>
        <v/>
      </c>
      <c r="I197" s="2"/>
      <c r="J197" s="2"/>
      <c r="K197" s="2"/>
      <c r="L197" s="3"/>
      <c r="M197" s="2"/>
    </row>
    <row r="198" spans="1:13">
      <c r="A198" s="2"/>
      <c r="B198" s="2"/>
      <c r="C198" s="2"/>
      <c r="D198" s="2"/>
      <c r="E198" s="3"/>
      <c r="F198" s="2"/>
      <c r="G198" s="2"/>
      <c r="H198" s="2" t="str">
        <f>IF(OR(F198="",G198=""),"",IF(F198&gt;G198,"Over limit",IF(F198=G198,"Last round","Within limit")))</f>
        <v/>
      </c>
      <c r="I198" s="2"/>
      <c r="J198" s="2"/>
      <c r="K198" s="2"/>
      <c r="L198" s="3"/>
      <c r="M198" s="2"/>
    </row>
    <row r="199" spans="1:13">
      <c r="A199" s="2"/>
      <c r="B199" s="2"/>
      <c r="C199" s="2"/>
      <c r="D199" s="2"/>
      <c r="E199" s="3"/>
      <c r="F199" s="2"/>
      <c r="G199" s="2"/>
      <c r="H199" s="2" t="str">
        <f>IF(OR(F199="",G199=""),"",IF(F199&gt;G199,"Over limit",IF(F199=G199,"Last round","Within limit")))</f>
        <v/>
      </c>
      <c r="I199" s="2"/>
      <c r="J199" s="2"/>
      <c r="K199" s="2"/>
      <c r="L199" s="3"/>
      <c r="M199" s="2"/>
    </row>
    <row r="200" spans="1:13">
      <c r="A200" s="2"/>
      <c r="B200" s="2"/>
      <c r="C200" s="2"/>
      <c r="D200" s="2"/>
      <c r="E200" s="3"/>
      <c r="F200" s="2"/>
      <c r="G200" s="2"/>
      <c r="H200" s="2" t="str">
        <f>IF(OR(F200="",G200=""),"",IF(F200&gt;G200,"Over limit",IF(F200=G200,"Last round","Within limit")))</f>
        <v/>
      </c>
      <c r="I200" s="2"/>
      <c r="J200" s="2"/>
      <c r="K200" s="2"/>
      <c r="L200" s="3"/>
      <c r="M200" s="2"/>
    </row>
    <row r="201" spans="1:13">
      <c r="A201" s="2"/>
      <c r="B201" s="2"/>
      <c r="C201" s="2"/>
      <c r="D201" s="2"/>
      <c r="E201" s="3"/>
      <c r="F201" s="2"/>
      <c r="G201" s="2"/>
      <c r="H201" s="2" t="str">
        <f>IF(OR(F201="",G201=""),"",IF(F201&gt;G201,"Over limit",IF(F201=G201,"Last round","Within limit")))</f>
        <v/>
      </c>
      <c r="I201" s="2"/>
      <c r="J201" s="2"/>
      <c r="K201" s="2"/>
      <c r="L201" s="3"/>
      <c r="M201" s="2"/>
    </row>
    <row r="202" spans="1:13">
      <c r="A202" s="2"/>
      <c r="B202" s="2"/>
      <c r="C202" s="2"/>
      <c r="D202" s="2"/>
      <c r="E202" s="3"/>
      <c r="F202" s="2"/>
      <c r="G202" s="2"/>
      <c r="H202" s="2" t="str">
        <f>IF(OR(F202="",G202=""),"",IF(F202&gt;G202,"Over limit",IF(F202=G202,"Last round","Within limit")))</f>
        <v/>
      </c>
      <c r="I202" s="2"/>
      <c r="J202" s="2"/>
      <c r="K202" s="2"/>
      <c r="L202" s="3"/>
      <c r="M202" s="2"/>
    </row>
    <row r="203" spans="1:13">
      <c r="A203" s="2"/>
      <c r="B203" s="2"/>
      <c r="C203" s="2"/>
      <c r="D203" s="2"/>
      <c r="E203" s="3"/>
      <c r="F203" s="2"/>
      <c r="G203" s="2"/>
      <c r="H203" s="2" t="str">
        <f>IF(OR(F203="",G203=""),"",IF(F203&gt;G203,"Over limit",IF(F203=G203,"Last round","Within limit")))</f>
        <v/>
      </c>
      <c r="I203" s="2"/>
      <c r="J203" s="2"/>
      <c r="K203" s="2"/>
      <c r="L203" s="3"/>
      <c r="M203" s="2"/>
    </row>
    <row r="204" spans="1:13">
      <c r="A204" s="2"/>
      <c r="B204" s="2"/>
      <c r="C204" s="2"/>
      <c r="D204" s="2"/>
      <c r="E204" s="3"/>
      <c r="F204" s="2"/>
      <c r="G204" s="2"/>
      <c r="H204" s="2" t="str">
        <f>IF(OR(F204="",G204=""),"",IF(F204&gt;G204,"Over limit",IF(F204=G204,"Last round","Within limit")))</f>
        <v/>
      </c>
      <c r="I204" s="2"/>
      <c r="J204" s="2"/>
      <c r="K204" s="2"/>
      <c r="L204" s="3"/>
      <c r="M204" s="2"/>
    </row>
    <row r="205" spans="1:13">
      <c r="A205" s="2"/>
      <c r="B205" s="2"/>
      <c r="C205" s="2"/>
      <c r="D205" s="2"/>
      <c r="E205" s="3"/>
      <c r="F205" s="2"/>
      <c r="G205" s="2"/>
      <c r="H205" s="2" t="str">
        <f>IF(OR(F205="",G205=""),"",IF(F205&gt;G205,"Over limit",IF(F205=G205,"Last round","Within limit")))</f>
        <v/>
      </c>
      <c r="I205" s="2"/>
      <c r="J205" s="2"/>
      <c r="K205" s="2"/>
      <c r="L205" s="3"/>
      <c r="M205" s="2"/>
    </row>
    <row r="206" spans="1:13">
      <c r="A206" s="2"/>
      <c r="B206" s="2"/>
      <c r="C206" s="2"/>
      <c r="D206" s="2"/>
      <c r="E206" s="3"/>
      <c r="F206" s="2"/>
      <c r="G206" s="2"/>
      <c r="H206" s="2" t="str">
        <f>IF(OR(F206="",G206=""),"",IF(F206&gt;G206,"Over limit",IF(F206=G206,"Last round","Within limit")))</f>
        <v/>
      </c>
      <c r="I206" s="2"/>
      <c r="J206" s="2"/>
      <c r="K206" s="2"/>
      <c r="L206" s="3"/>
      <c r="M206" s="2"/>
    </row>
    <row r="207" spans="1:13">
      <c r="A207" s="2"/>
      <c r="B207" s="2"/>
      <c r="C207" s="2"/>
      <c r="D207" s="2"/>
      <c r="E207" s="3"/>
      <c r="F207" s="2"/>
      <c r="G207" s="2"/>
      <c r="H207" s="2" t="str">
        <f>IF(OR(F207="",G207=""),"",IF(F207&gt;G207,"Over limit",IF(F207=G207,"Last round","Within limit")))</f>
        <v/>
      </c>
      <c r="I207" s="2"/>
      <c r="J207" s="2"/>
      <c r="K207" s="2"/>
      <c r="L207" s="3"/>
      <c r="M207" s="2"/>
    </row>
    <row r="208" spans="1:13">
      <c r="A208" s="2"/>
      <c r="B208" s="2"/>
      <c r="C208" s="2"/>
      <c r="D208" s="2"/>
      <c r="E208" s="3"/>
      <c r="F208" s="2"/>
      <c r="G208" s="2"/>
      <c r="H208" s="2" t="str">
        <f>IF(OR(F208="",G208=""),"",IF(F208&gt;G208,"Over limit",IF(F208=G208,"Last round","Within limit")))</f>
        <v/>
      </c>
      <c r="I208" s="2"/>
      <c r="J208" s="2"/>
      <c r="K208" s="2"/>
      <c r="L208" s="3"/>
      <c r="M208" s="2"/>
    </row>
    <row r="209" spans="1:13">
      <c r="A209" s="2"/>
      <c r="B209" s="2"/>
      <c r="C209" s="2"/>
      <c r="D209" s="2"/>
      <c r="E209" s="3"/>
      <c r="F209" s="2"/>
      <c r="G209" s="2"/>
      <c r="H209" s="2" t="str">
        <f>IF(OR(F209="",G209=""),"",IF(F209&gt;G209,"Over limit",IF(F209=G209,"Last round","Within limit")))</f>
        <v/>
      </c>
      <c r="I209" s="2"/>
      <c r="J209" s="2"/>
      <c r="K209" s="2"/>
      <c r="L209" s="3"/>
      <c r="M209" s="2"/>
    </row>
    <row r="210" spans="1:13">
      <c r="A210" s="2"/>
      <c r="B210" s="2"/>
      <c r="C210" s="2"/>
      <c r="D210" s="2"/>
      <c r="E210" s="3"/>
      <c r="F210" s="2"/>
      <c r="G210" s="2"/>
      <c r="H210" s="2" t="str">
        <f>IF(OR(F210="",G210=""),"",IF(F210&gt;G210,"Over limit",IF(F210=G210,"Last round","Within limit")))</f>
        <v/>
      </c>
      <c r="I210" s="2"/>
      <c r="J210" s="2"/>
      <c r="K210" s="2"/>
      <c r="L210" s="3"/>
      <c r="M210" s="2"/>
    </row>
  </sheetData>
  <autoFilter ref="A10:M210" xr:uid="{00000000-0009-0000-0000-000004000000}"/>
  <mergeCells count="12">
    <mergeCell ref="A4:B4"/>
    <mergeCell ref="A1:M1"/>
    <mergeCell ref="C5:E5"/>
    <mergeCell ref="A8:M8"/>
    <mergeCell ref="F4:I4"/>
    <mergeCell ref="J4:M4"/>
    <mergeCell ref="A5:B5"/>
    <mergeCell ref="C4:E4"/>
    <mergeCell ref="A7:M7"/>
    <mergeCell ref="F5:I5"/>
    <mergeCell ref="J5:M5"/>
    <mergeCell ref="A2:M2"/>
  </mergeCells>
  <conditionalFormatting sqref="H11:H210">
    <cfRule type="cellIs" dxfId="25" priority="1" operator="equal">
      <formula>"Over limit"</formula>
    </cfRule>
    <cfRule type="cellIs" dxfId="24" priority="2" operator="equal">
      <formula>"Last round"</formula>
    </cfRule>
    <cfRule type="cellIs" dxfId="23" priority="3" operator="equal">
      <formula>"Within limit"</formula>
    </cfRule>
  </conditionalFormatting>
  <conditionalFormatting sqref="I11:I210">
    <cfRule type="cellIs" dxfId="22" priority="4" operator="equal">
      <formula>"In scope"</formula>
    </cfRule>
    <cfRule type="cellIs" dxfId="21" priority="5" operator="equal">
      <formula>"Reasonable revision"</formula>
    </cfRule>
    <cfRule type="cellIs" dxfId="20" priority="6" operator="equal">
      <formula>"New requirement"</formula>
    </cfRule>
    <cfRule type="cellIs" dxfId="19" priority="7" operator="equal">
      <formula>"Needs clarification"</formula>
    </cfRule>
    <cfRule type="cellIs" dxfId="18" priority="8" operator="equal">
      <formula>"Change request sent"</formula>
    </cfRule>
  </conditionalFormatting>
  <conditionalFormatting sqref="J11:J210">
    <cfRule type="cellIs" dxfId="17" priority="9" operator="equal">
      <formula>"Open"</formula>
    </cfRule>
    <cfRule type="cellIs" dxfId="16" priority="10" operator="equal">
      <formula>"In progress"</formula>
    </cfRule>
    <cfRule type="cellIs" dxfId="15" priority="11" operator="equal">
      <formula>"Resolved"</formula>
    </cfRule>
    <cfRule type="cellIs" dxfId="14" priority="12" operator="equal">
      <formula>"Declined"</formula>
    </cfRule>
    <cfRule type="cellIs" dxfId="13" priority="13" operator="equal">
      <formula>"Quoted as extra"</formula>
    </cfRule>
  </conditionalFormatting>
  <conditionalFormatting sqref="K11:K210">
    <cfRule type="cellIs" dxfId="12" priority="14" operator="equal">
      <formula>"Pending"</formula>
    </cfRule>
    <cfRule type="cellIs" dxfId="11" priority="15" operator="equal">
      <formula>"Approved"</formula>
    </cfRule>
    <cfRule type="cellIs" dxfId="10" priority="16" operator="equal">
      <formula>"Approved with changes"</formula>
    </cfRule>
    <cfRule type="cellIs" dxfId="9" priority="17" operator="equal">
      <formula>"Not approved"</formula>
    </cfRule>
  </conditionalFormatting>
  <conditionalFormatting sqref="A11:M210">
    <cfRule type="expression" dxfId="8" priority="18">
      <formula>MOD(ROW(),2)=0</formula>
    </cfRule>
  </conditionalFormatting>
  <conditionalFormatting sqref="C5">
    <cfRule type="cellIs" dxfId="7" priority="19" operator="greaterThan">
      <formula>0</formula>
    </cfRule>
  </conditionalFormatting>
  <conditionalFormatting sqref="F5">
    <cfRule type="cellIs" dxfId="6" priority="20" operator="greaterThan">
      <formula>0</formula>
    </cfRule>
  </conditionalFormatting>
  <dataValidations count="3">
    <dataValidation type="list" allowBlank="1" sqref="I11:I210" xr:uid="{00000000-0002-0000-0400-000000000000}">
      <formula1>"In scope,Reasonable revision,New requirement,Needs clarification,Change request sent"</formula1>
    </dataValidation>
    <dataValidation type="list" allowBlank="1" sqref="J11:J210" xr:uid="{00000000-0002-0000-0400-000001000000}">
      <formula1>"Open,In progress,Resolved,Declined,Quoted as extra"</formula1>
    </dataValidation>
    <dataValidation type="list" allowBlank="1" sqref="K11:K210" xr:uid="{00000000-0002-0000-0400-000002000000}">
      <formula1>"Pending,Approved,Approved with changes,Not approved"</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338CA"/>
  </sheetPr>
  <dimension ref="A1:J217"/>
  <sheetViews>
    <sheetView showGridLines="0" topLeftCell="A13" workbookViewId="0"/>
  </sheetViews>
  <sheetFormatPr defaultRowHeight="15"/>
  <cols>
    <col min="1" max="1" width="26" customWidth="1"/>
    <col min="2" max="2" width="18" customWidth="1"/>
    <col min="3" max="4" width="14" customWidth="1"/>
    <col min="5" max="5" width="16" customWidth="1"/>
    <col min="6" max="6" width="14" customWidth="1"/>
    <col min="7" max="7" width="16" customWidth="1"/>
    <col min="8" max="8" width="12" customWidth="1"/>
    <col min="9" max="9" width="14" customWidth="1"/>
    <col min="10" max="10" width="36" customWidth="1"/>
  </cols>
  <sheetData>
    <row r="1" spans="1:10" ht="36" customHeight="1">
      <c r="A1" s="4" t="s">
        <v>344</v>
      </c>
      <c r="B1" s="13"/>
      <c r="C1" s="13"/>
      <c r="D1" s="13"/>
      <c r="E1" s="13"/>
      <c r="F1" s="13"/>
      <c r="G1" s="13"/>
      <c r="H1" s="13"/>
      <c r="I1" s="13"/>
      <c r="J1" s="13"/>
    </row>
    <row r="2" spans="1:10" ht="24" customHeight="1">
      <c r="A2" s="9" t="s">
        <v>345</v>
      </c>
      <c r="B2" s="14"/>
      <c r="C2" s="14"/>
      <c r="D2" s="14"/>
      <c r="E2" s="14"/>
      <c r="F2" s="14"/>
      <c r="G2" s="14"/>
      <c r="H2" s="14"/>
      <c r="I2" s="14"/>
      <c r="J2" s="14"/>
    </row>
    <row r="3" spans="1:10" ht="8.1" customHeight="1"/>
    <row r="4" spans="1:10" ht="20.100000000000001" customHeight="1">
      <c r="A4" s="6" t="s">
        <v>346</v>
      </c>
      <c r="B4" s="15"/>
      <c r="C4" s="6" t="s">
        <v>347</v>
      </c>
      <c r="D4" s="15"/>
      <c r="E4" s="15"/>
      <c r="F4" s="6" t="s">
        <v>348</v>
      </c>
      <c r="G4" s="15"/>
      <c r="H4" s="15"/>
      <c r="I4" s="6" t="s">
        <v>349</v>
      </c>
      <c r="J4" s="15"/>
    </row>
    <row r="5" spans="1:10" ht="33.950000000000003" customHeight="1">
      <c r="A5" s="5">
        <f>COUNTIF($I$18:$I$217,"Healthy")</f>
        <v>7</v>
      </c>
      <c r="B5" s="15"/>
      <c r="C5" s="5">
        <f>COUNTIF($I$18:$I$217,"Watch")</f>
        <v>8</v>
      </c>
      <c r="D5" s="15"/>
      <c r="E5" s="15"/>
      <c r="F5" s="5">
        <f>COUNTIF($I$18:$I$217,"At risk")</f>
        <v>3</v>
      </c>
      <c r="G5" s="15"/>
      <c r="H5" s="15"/>
      <c r="I5" s="5">
        <f>IF(COUNT($H$18:$H$217)=0,"",ROUND(AVERAGE($H$18:$H$217),1))</f>
        <v>14.3</v>
      </c>
      <c r="J5" s="15"/>
    </row>
    <row r="6" spans="1:10" ht="9.9499999999999993" customHeight="1"/>
    <row r="7" spans="1:10" ht="21.95" customHeight="1">
      <c r="A7" s="8" t="s">
        <v>6</v>
      </c>
      <c r="B7" s="16"/>
      <c r="C7" s="16"/>
      <c r="D7" s="16"/>
      <c r="E7" s="16"/>
      <c r="F7" s="16"/>
      <c r="G7" s="16"/>
      <c r="H7" s="16"/>
      <c r="I7" s="16"/>
      <c r="J7" s="16"/>
    </row>
    <row r="8" spans="1:10" ht="96" customHeight="1">
      <c r="A8" s="7" t="s">
        <v>350</v>
      </c>
      <c r="B8" s="14"/>
      <c r="C8" s="14"/>
      <c r="D8" s="14"/>
      <c r="E8" s="14"/>
      <c r="F8" s="14"/>
      <c r="G8" s="14"/>
      <c r="H8" s="14"/>
      <c r="I8" s="14"/>
      <c r="J8" s="14"/>
    </row>
    <row r="9" spans="1:10" ht="12" customHeight="1"/>
    <row r="10" spans="1:10" ht="21.95" customHeight="1">
      <c r="A10" s="8" t="s">
        <v>351</v>
      </c>
      <c r="B10" s="16"/>
      <c r="C10" s="16"/>
      <c r="D10" s="16"/>
      <c r="E10" s="16"/>
      <c r="F10" s="16"/>
      <c r="G10" s="16"/>
      <c r="H10" s="16"/>
      <c r="I10" s="16"/>
      <c r="J10" s="16"/>
    </row>
    <row r="11" spans="1:10" ht="26.1" customHeight="1">
      <c r="A11" s="12" t="s">
        <v>352</v>
      </c>
      <c r="B11" s="13"/>
      <c r="C11" s="13"/>
      <c r="D11" s="12" t="s">
        <v>353</v>
      </c>
      <c r="E11" s="13"/>
      <c r="F11" s="13"/>
      <c r="G11" s="12" t="s">
        <v>354</v>
      </c>
      <c r="H11" s="13"/>
      <c r="I11" s="12" t="s">
        <v>355</v>
      </c>
      <c r="J11" s="13"/>
    </row>
    <row r="12" spans="1:10" ht="21" customHeight="1">
      <c r="A12" s="11" t="s">
        <v>356</v>
      </c>
      <c r="B12" s="17"/>
      <c r="C12" s="17"/>
      <c r="D12" s="10" t="s">
        <v>357</v>
      </c>
      <c r="E12" s="17"/>
      <c r="F12" s="17"/>
      <c r="G12" s="10" t="s">
        <v>358</v>
      </c>
      <c r="H12" s="17"/>
      <c r="I12" s="10" t="s">
        <v>359</v>
      </c>
      <c r="J12" s="17"/>
    </row>
    <row r="13" spans="1:10" ht="36" customHeight="1">
      <c r="A13" s="11" t="s">
        <v>360</v>
      </c>
      <c r="B13" s="17"/>
      <c r="C13" s="17"/>
      <c r="D13" s="10" t="s">
        <v>361</v>
      </c>
      <c r="E13" s="17"/>
      <c r="F13" s="17"/>
      <c r="G13" s="10" t="s">
        <v>362</v>
      </c>
      <c r="H13" s="17"/>
      <c r="I13" s="10" t="s">
        <v>363</v>
      </c>
      <c r="J13" s="17"/>
    </row>
    <row r="14" spans="1:10" ht="21" customHeight="1">
      <c r="A14" s="11" t="s">
        <v>364</v>
      </c>
      <c r="B14" s="17"/>
      <c r="C14" s="17"/>
      <c r="D14" s="10" t="s">
        <v>365</v>
      </c>
      <c r="E14" s="17"/>
      <c r="F14" s="17"/>
      <c r="G14" s="10" t="s">
        <v>366</v>
      </c>
      <c r="H14" s="17"/>
      <c r="I14" s="10" t="s">
        <v>367</v>
      </c>
      <c r="J14" s="17"/>
    </row>
    <row r="15" spans="1:10" ht="21" customHeight="1">
      <c r="A15" s="11" t="s">
        <v>368</v>
      </c>
      <c r="B15" s="17"/>
      <c r="C15" s="17"/>
      <c r="D15" s="10" t="s">
        <v>369</v>
      </c>
      <c r="E15" s="17"/>
      <c r="F15" s="17"/>
      <c r="G15" s="10" t="s">
        <v>370</v>
      </c>
      <c r="H15" s="17"/>
      <c r="I15" s="10" t="s">
        <v>371</v>
      </c>
      <c r="J15" s="17"/>
    </row>
    <row r="16" spans="1:10" ht="12" customHeight="1"/>
    <row r="17" spans="1:10" ht="32.1" customHeight="1">
      <c r="A17" s="1" t="s">
        <v>8</v>
      </c>
      <c r="B17" s="1" t="s">
        <v>10</v>
      </c>
      <c r="C17" s="1" t="s">
        <v>372</v>
      </c>
      <c r="D17" s="1" t="s">
        <v>356</v>
      </c>
      <c r="E17" s="1" t="s">
        <v>360</v>
      </c>
      <c r="F17" s="1" t="s">
        <v>364</v>
      </c>
      <c r="G17" s="1" t="s">
        <v>368</v>
      </c>
      <c r="H17" s="1" t="s">
        <v>373</v>
      </c>
      <c r="I17" s="1" t="s">
        <v>374</v>
      </c>
      <c r="J17" s="1" t="s">
        <v>97</v>
      </c>
    </row>
    <row r="18" spans="1:10">
      <c r="A18" s="2" t="s">
        <v>17</v>
      </c>
      <c r="B18" s="2" t="s">
        <v>19</v>
      </c>
      <c r="C18" s="3">
        <v>46304</v>
      </c>
      <c r="D18" s="2">
        <v>5</v>
      </c>
      <c r="E18" s="2">
        <v>5</v>
      </c>
      <c r="F18" s="2">
        <v>4</v>
      </c>
      <c r="G18" s="2">
        <v>5</v>
      </c>
      <c r="H18" s="2">
        <f>IF(COUNT(D18:G18)&lt;4,"",SUM(D18:G18))</f>
        <v>19</v>
      </c>
      <c r="I18" s="2" t="str">
        <f>IF(H18="","",IF(H18&gt;=16,"Healthy",IF(H18&gt;=11,"Watch","At risk")))</f>
        <v>Healthy</v>
      </c>
      <c r="J18" s="2" t="s">
        <v>375</v>
      </c>
    </row>
    <row r="19" spans="1:10">
      <c r="A19" s="2" t="s">
        <v>23</v>
      </c>
      <c r="B19" s="2" t="s">
        <v>24</v>
      </c>
      <c r="C19" s="3">
        <v>46304</v>
      </c>
      <c r="D19" s="2">
        <v>4</v>
      </c>
      <c r="E19" s="2">
        <v>3</v>
      </c>
      <c r="F19" s="2">
        <v>3</v>
      </c>
      <c r="G19" s="2">
        <v>4</v>
      </c>
      <c r="H19" s="2">
        <f>IF(COUNT(D19:G19)&lt;4,"",SUM(D19:G19))</f>
        <v>14</v>
      </c>
      <c r="I19" s="2" t="str">
        <f>IF(H19="","",IF(H19&gt;=16,"Healthy",IF(H19&gt;=11,"Watch","At risk")))</f>
        <v>Watch</v>
      </c>
      <c r="J19" s="2" t="s">
        <v>376</v>
      </c>
    </row>
    <row r="20" spans="1:10">
      <c r="A20" s="2" t="s">
        <v>28</v>
      </c>
      <c r="B20" s="2" t="s">
        <v>29</v>
      </c>
      <c r="C20" s="3">
        <v>46304</v>
      </c>
      <c r="D20" s="2">
        <v>2</v>
      </c>
      <c r="E20" s="2">
        <v>2</v>
      </c>
      <c r="F20" s="2">
        <v>1</v>
      </c>
      <c r="G20" s="2">
        <v>2</v>
      </c>
      <c r="H20" s="2">
        <f>IF(COUNT(D20:G20)&lt;4,"",SUM(D20:G20))</f>
        <v>7</v>
      </c>
      <c r="I20" s="2" t="str">
        <f>IF(H20="","",IF(H20&gt;=16,"Healthy",IF(H20&gt;=11,"Watch","At risk")))</f>
        <v>At risk</v>
      </c>
      <c r="J20" s="2" t="s">
        <v>377</v>
      </c>
    </row>
    <row r="21" spans="1:10">
      <c r="A21" s="2" t="s">
        <v>33</v>
      </c>
      <c r="B21" s="2" t="s">
        <v>35</v>
      </c>
      <c r="C21" s="3">
        <v>46304</v>
      </c>
      <c r="D21" s="2">
        <v>4</v>
      </c>
      <c r="E21" s="2">
        <v>4</v>
      </c>
      <c r="F21" s="2">
        <v>5</v>
      </c>
      <c r="G21" s="2">
        <v>4</v>
      </c>
      <c r="H21" s="2">
        <f>IF(COUNT(D21:G21)&lt;4,"",SUM(D21:G21))</f>
        <v>17</v>
      </c>
      <c r="I21" s="2" t="str">
        <f>IF(H21="","",IF(H21&gt;=16,"Healthy",IF(H21&gt;=11,"Watch","At risk")))</f>
        <v>Healthy</v>
      </c>
      <c r="J21" s="2" t="s">
        <v>378</v>
      </c>
    </row>
    <row r="22" spans="1:10">
      <c r="A22" s="2" t="s">
        <v>38</v>
      </c>
      <c r="B22" s="2" t="s">
        <v>19</v>
      </c>
      <c r="C22" s="3">
        <v>46304</v>
      </c>
      <c r="D22" s="2">
        <v>4</v>
      </c>
      <c r="E22" s="2">
        <v>3</v>
      </c>
      <c r="F22" s="2">
        <v>4</v>
      </c>
      <c r="G22" s="2">
        <v>4</v>
      </c>
      <c r="H22" s="2">
        <f>IF(COUNT(D22:G22)&lt;4,"",SUM(D22:G22))</f>
        <v>15</v>
      </c>
      <c r="I22" s="2" t="str">
        <f>IF(H22="","",IF(H22&gt;=16,"Healthy",IF(H22&gt;=11,"Watch","At risk")))</f>
        <v>Watch</v>
      </c>
      <c r="J22" s="2" t="s">
        <v>379</v>
      </c>
    </row>
    <row r="23" spans="1:10">
      <c r="A23" s="2" t="s">
        <v>41</v>
      </c>
      <c r="B23" s="2" t="s">
        <v>24</v>
      </c>
      <c r="C23" s="3">
        <v>46304</v>
      </c>
      <c r="D23" s="2">
        <v>3</v>
      </c>
      <c r="E23" s="2">
        <v>2</v>
      </c>
      <c r="F23" s="2">
        <v>2</v>
      </c>
      <c r="G23" s="2">
        <v>2</v>
      </c>
      <c r="H23" s="2">
        <f>IF(COUNT(D23:G23)&lt;4,"",SUM(D23:G23))</f>
        <v>9</v>
      </c>
      <c r="I23" s="2" t="str">
        <f>IF(H23="","",IF(H23&gt;=16,"Healthy",IF(H23&gt;=11,"Watch","At risk")))</f>
        <v>At risk</v>
      </c>
      <c r="J23" s="2" t="s">
        <v>380</v>
      </c>
    </row>
    <row r="24" spans="1:10">
      <c r="A24" s="2" t="s">
        <v>45</v>
      </c>
      <c r="B24" s="2" t="s">
        <v>29</v>
      </c>
      <c r="C24" s="3">
        <v>46304</v>
      </c>
      <c r="D24" s="2">
        <v>4</v>
      </c>
      <c r="E24" s="2">
        <v>3</v>
      </c>
      <c r="F24" s="2">
        <v>5</v>
      </c>
      <c r="G24" s="2">
        <v>3</v>
      </c>
      <c r="H24" s="2">
        <f>IF(COUNT(D24:G24)&lt;4,"",SUM(D24:G24))</f>
        <v>15</v>
      </c>
      <c r="I24" s="2" t="str">
        <f>IF(H24="","",IF(H24&gt;=16,"Healthy",IF(H24&gt;=11,"Watch","At risk")))</f>
        <v>Watch</v>
      </c>
      <c r="J24" s="2" t="s">
        <v>381</v>
      </c>
    </row>
    <row r="25" spans="1:10">
      <c r="A25" s="2" t="s">
        <v>48</v>
      </c>
      <c r="B25" s="2" t="s">
        <v>35</v>
      </c>
      <c r="C25" s="3">
        <v>46304</v>
      </c>
      <c r="D25" s="2">
        <v>4</v>
      </c>
      <c r="E25" s="2">
        <v>4</v>
      </c>
      <c r="F25" s="2">
        <v>5</v>
      </c>
      <c r="G25" s="2">
        <v>1</v>
      </c>
      <c r="H25" s="2">
        <f>IF(COUNT(D25:G25)&lt;4,"",SUM(D25:G25))</f>
        <v>14</v>
      </c>
      <c r="I25" s="2" t="str">
        <f>IF(H25="","",IF(H25&gt;=16,"Healthy",IF(H25&gt;=11,"Watch","At risk")))</f>
        <v>Watch</v>
      </c>
      <c r="J25" s="2" t="s">
        <v>382</v>
      </c>
    </row>
    <row r="26" spans="1:10">
      <c r="A26" s="2" t="s">
        <v>52</v>
      </c>
      <c r="B26" s="2" t="s">
        <v>24</v>
      </c>
      <c r="C26" s="3">
        <v>46304</v>
      </c>
      <c r="D26" s="2">
        <v>4</v>
      </c>
      <c r="E26" s="2">
        <v>4</v>
      </c>
      <c r="F26" s="2">
        <v>4</v>
      </c>
      <c r="G26" s="2">
        <v>5</v>
      </c>
      <c r="H26" s="2">
        <f>IF(COUNT(D26:G26)&lt;4,"",SUM(D26:G26))</f>
        <v>17</v>
      </c>
      <c r="I26" s="2" t="str">
        <f>IF(H26="","",IF(H26&gt;=16,"Healthy",IF(H26&gt;=11,"Watch","At risk")))</f>
        <v>Healthy</v>
      </c>
      <c r="J26" s="2" t="s">
        <v>383</v>
      </c>
    </row>
    <row r="27" spans="1:10">
      <c r="A27" s="2" t="s">
        <v>55</v>
      </c>
      <c r="B27" s="2" t="s">
        <v>35</v>
      </c>
      <c r="C27" s="3">
        <v>46304</v>
      </c>
      <c r="D27" s="2">
        <v>3</v>
      </c>
      <c r="E27" s="2">
        <v>3</v>
      </c>
      <c r="F27" s="2">
        <v>2</v>
      </c>
      <c r="G27" s="2">
        <v>3</v>
      </c>
      <c r="H27" s="2">
        <f>IF(COUNT(D27:G27)&lt;4,"",SUM(D27:G27))</f>
        <v>11</v>
      </c>
      <c r="I27" s="2" t="str">
        <f>IF(H27="","",IF(H27&gt;=16,"Healthy",IF(H27&gt;=11,"Watch","At risk")))</f>
        <v>Watch</v>
      </c>
      <c r="J27" s="2" t="s">
        <v>384</v>
      </c>
    </row>
    <row r="28" spans="1:10">
      <c r="A28" s="2" t="s">
        <v>58</v>
      </c>
      <c r="B28" s="2" t="s">
        <v>19</v>
      </c>
      <c r="C28" s="3">
        <v>46304</v>
      </c>
      <c r="D28" s="2">
        <v>5</v>
      </c>
      <c r="E28" s="2">
        <v>4</v>
      </c>
      <c r="F28" s="2">
        <v>5</v>
      </c>
      <c r="G28" s="2">
        <v>5</v>
      </c>
      <c r="H28" s="2">
        <f>IF(COUNT(D28:G28)&lt;4,"",SUM(D28:G28))</f>
        <v>19</v>
      </c>
      <c r="I28" s="2" t="str">
        <f>IF(H28="","",IF(H28&gt;=16,"Healthy",IF(H28&gt;=11,"Watch","At risk")))</f>
        <v>Healthy</v>
      </c>
      <c r="J28" s="2" t="s">
        <v>385</v>
      </c>
    </row>
    <row r="29" spans="1:10">
      <c r="A29" s="2" t="s">
        <v>61</v>
      </c>
      <c r="B29" s="2" t="s">
        <v>29</v>
      </c>
      <c r="C29" s="3">
        <v>46304</v>
      </c>
      <c r="D29" s="2">
        <v>4</v>
      </c>
      <c r="E29" s="2">
        <v>4</v>
      </c>
      <c r="F29" s="2">
        <v>5</v>
      </c>
      <c r="G29" s="2">
        <v>4</v>
      </c>
      <c r="H29" s="2">
        <f>IF(COUNT(D29:G29)&lt;4,"",SUM(D29:G29))</f>
        <v>17</v>
      </c>
      <c r="I29" s="2" t="str">
        <f>IF(H29="","",IF(H29&gt;=16,"Healthy",IF(H29&gt;=11,"Watch","At risk")))</f>
        <v>Healthy</v>
      </c>
      <c r="J29" s="2" t="s">
        <v>386</v>
      </c>
    </row>
    <row r="30" spans="1:10">
      <c r="A30" s="2" t="s">
        <v>64</v>
      </c>
      <c r="B30" s="2" t="s">
        <v>24</v>
      </c>
      <c r="C30" s="3">
        <v>46304</v>
      </c>
      <c r="D30" s="2">
        <v>2</v>
      </c>
      <c r="E30" s="2">
        <v>2</v>
      </c>
      <c r="F30" s="2">
        <v>2</v>
      </c>
      <c r="G30" s="2">
        <v>2</v>
      </c>
      <c r="H30" s="2">
        <f>IF(COUNT(D30:G30)&lt;4,"",SUM(D30:G30))</f>
        <v>8</v>
      </c>
      <c r="I30" s="2" t="str">
        <f>IF(H30="","",IF(H30&gt;=16,"Healthy",IF(H30&gt;=11,"Watch","At risk")))</f>
        <v>At risk</v>
      </c>
      <c r="J30" s="2" t="s">
        <v>387</v>
      </c>
    </row>
    <row r="31" spans="1:10">
      <c r="A31" s="2" t="s">
        <v>67</v>
      </c>
      <c r="B31" s="2" t="s">
        <v>35</v>
      </c>
      <c r="C31" s="3">
        <v>46304</v>
      </c>
      <c r="D31" s="2">
        <v>5</v>
      </c>
      <c r="E31" s="2">
        <v>4</v>
      </c>
      <c r="F31" s="2">
        <v>4</v>
      </c>
      <c r="G31" s="2">
        <v>5</v>
      </c>
      <c r="H31" s="2">
        <f>IF(COUNT(D31:G31)&lt;4,"",SUM(D31:G31))</f>
        <v>18</v>
      </c>
      <c r="I31" s="2" t="str">
        <f>IF(H31="","",IF(H31&gt;=16,"Healthy",IF(H31&gt;=11,"Watch","At risk")))</f>
        <v>Healthy</v>
      </c>
      <c r="J31" s="2" t="s">
        <v>388</v>
      </c>
    </row>
    <row r="32" spans="1:10">
      <c r="A32" s="2" t="s">
        <v>70</v>
      </c>
      <c r="B32" s="2" t="s">
        <v>19</v>
      </c>
      <c r="C32" s="3">
        <v>46304</v>
      </c>
      <c r="D32" s="2">
        <v>3</v>
      </c>
      <c r="E32" s="2">
        <v>2</v>
      </c>
      <c r="F32" s="2">
        <v>3</v>
      </c>
      <c r="G32" s="2">
        <v>3</v>
      </c>
      <c r="H32" s="2">
        <f>IF(COUNT(D32:G32)&lt;4,"",SUM(D32:G32))</f>
        <v>11</v>
      </c>
      <c r="I32" s="2" t="str">
        <f>IF(H32="","",IF(H32&gt;=16,"Healthy",IF(H32&gt;=11,"Watch","At risk")))</f>
        <v>Watch</v>
      </c>
      <c r="J32" s="2" t="s">
        <v>389</v>
      </c>
    </row>
    <row r="33" spans="1:10">
      <c r="A33" s="2" t="s">
        <v>73</v>
      </c>
      <c r="B33" s="2" t="s">
        <v>29</v>
      </c>
      <c r="C33" s="3">
        <v>46304</v>
      </c>
      <c r="D33" s="2">
        <v>4</v>
      </c>
      <c r="E33" s="2">
        <v>4</v>
      </c>
      <c r="F33" s="2">
        <v>4</v>
      </c>
      <c r="G33" s="2">
        <v>3</v>
      </c>
      <c r="H33" s="2">
        <f>IF(COUNT(D33:G33)&lt;4,"",SUM(D33:G33))</f>
        <v>15</v>
      </c>
      <c r="I33" s="2" t="str">
        <f>IF(H33="","",IF(H33&gt;=16,"Healthy",IF(H33&gt;=11,"Watch","At risk")))</f>
        <v>Watch</v>
      </c>
      <c r="J33" s="2" t="s">
        <v>390</v>
      </c>
    </row>
    <row r="34" spans="1:10">
      <c r="A34" s="2" t="s">
        <v>76</v>
      </c>
      <c r="B34" s="2" t="s">
        <v>24</v>
      </c>
      <c r="C34" s="3">
        <v>46304</v>
      </c>
      <c r="D34" s="2">
        <v>4</v>
      </c>
      <c r="E34" s="2">
        <v>4</v>
      </c>
      <c r="F34" s="2">
        <v>5</v>
      </c>
      <c r="G34" s="2">
        <v>4</v>
      </c>
      <c r="H34" s="2">
        <f>IF(COUNT(D34:G34)&lt;4,"",SUM(D34:G34))</f>
        <v>17</v>
      </c>
      <c r="I34" s="2" t="str">
        <f>IF(H34="","",IF(H34&gt;=16,"Healthy",IF(H34&gt;=11,"Watch","At risk")))</f>
        <v>Healthy</v>
      </c>
      <c r="J34" s="2" t="s">
        <v>391</v>
      </c>
    </row>
    <row r="35" spans="1:10">
      <c r="A35" s="2" t="s">
        <v>79</v>
      </c>
      <c r="B35" s="2" t="s">
        <v>35</v>
      </c>
      <c r="C35" s="3">
        <v>46304</v>
      </c>
      <c r="D35" s="2">
        <v>4</v>
      </c>
      <c r="E35" s="2">
        <v>4</v>
      </c>
      <c r="F35" s="2">
        <v>5</v>
      </c>
      <c r="G35" s="2">
        <v>1</v>
      </c>
      <c r="H35" s="2">
        <f>IF(COUNT(D35:G35)&lt;4,"",SUM(D35:G35))</f>
        <v>14</v>
      </c>
      <c r="I35" s="2" t="str">
        <f>IF(H35="","",IF(H35&gt;=16,"Healthy",IF(H35&gt;=11,"Watch","At risk")))</f>
        <v>Watch</v>
      </c>
      <c r="J35" s="2" t="s">
        <v>392</v>
      </c>
    </row>
    <row r="36" spans="1:10">
      <c r="A36" s="2"/>
      <c r="B36" s="2"/>
      <c r="C36" s="3"/>
      <c r="D36" s="2"/>
      <c r="E36" s="2"/>
      <c r="F36" s="2"/>
      <c r="G36" s="2"/>
      <c r="H36" s="2" t="str">
        <f>IF(COUNT(D36:G36)&lt;4,"",SUM(D36:G36))</f>
        <v/>
      </c>
      <c r="I36" s="2" t="str">
        <f>IF(H36="","",IF(H36&gt;=16,"Healthy",IF(H36&gt;=11,"Watch","At risk")))</f>
        <v/>
      </c>
      <c r="J36" s="2"/>
    </row>
    <row r="37" spans="1:10">
      <c r="A37" s="2"/>
      <c r="B37" s="2"/>
      <c r="C37" s="3"/>
      <c r="D37" s="2"/>
      <c r="E37" s="2"/>
      <c r="F37" s="2"/>
      <c r="G37" s="2"/>
      <c r="H37" s="2" t="str">
        <f>IF(COUNT(D37:G37)&lt;4,"",SUM(D37:G37))</f>
        <v/>
      </c>
      <c r="I37" s="2" t="str">
        <f>IF(H37="","",IF(H37&gt;=16,"Healthy",IF(H37&gt;=11,"Watch","At risk")))</f>
        <v/>
      </c>
      <c r="J37" s="2"/>
    </row>
    <row r="38" spans="1:10">
      <c r="A38" s="2"/>
      <c r="B38" s="2"/>
      <c r="C38" s="3"/>
      <c r="D38" s="2"/>
      <c r="E38" s="2"/>
      <c r="F38" s="2"/>
      <c r="G38" s="2"/>
      <c r="H38" s="2" t="str">
        <f>IF(COUNT(D38:G38)&lt;4,"",SUM(D38:G38))</f>
        <v/>
      </c>
      <c r="I38" s="2" t="str">
        <f>IF(H38="","",IF(H38&gt;=16,"Healthy",IF(H38&gt;=11,"Watch","At risk")))</f>
        <v/>
      </c>
      <c r="J38" s="2"/>
    </row>
    <row r="39" spans="1:10">
      <c r="A39" s="2"/>
      <c r="B39" s="2"/>
      <c r="C39" s="3"/>
      <c r="D39" s="2"/>
      <c r="E39" s="2"/>
      <c r="F39" s="2"/>
      <c r="G39" s="2"/>
      <c r="H39" s="2" t="str">
        <f>IF(COUNT(D39:G39)&lt;4,"",SUM(D39:G39))</f>
        <v/>
      </c>
      <c r="I39" s="2" t="str">
        <f>IF(H39="","",IF(H39&gt;=16,"Healthy",IF(H39&gt;=11,"Watch","At risk")))</f>
        <v/>
      </c>
      <c r="J39" s="2"/>
    </row>
    <row r="40" spans="1:10">
      <c r="A40" s="2"/>
      <c r="B40" s="2"/>
      <c r="C40" s="3"/>
      <c r="D40" s="2"/>
      <c r="E40" s="2"/>
      <c r="F40" s="2"/>
      <c r="G40" s="2"/>
      <c r="H40" s="2" t="str">
        <f>IF(COUNT(D40:G40)&lt;4,"",SUM(D40:G40))</f>
        <v/>
      </c>
      <c r="I40" s="2" t="str">
        <f>IF(H40="","",IF(H40&gt;=16,"Healthy",IF(H40&gt;=11,"Watch","At risk")))</f>
        <v/>
      </c>
      <c r="J40" s="2"/>
    </row>
    <row r="41" spans="1:10">
      <c r="A41" s="2"/>
      <c r="B41" s="2"/>
      <c r="C41" s="3"/>
      <c r="D41" s="2"/>
      <c r="E41" s="2"/>
      <c r="F41" s="2"/>
      <c r="G41" s="2"/>
      <c r="H41" s="2" t="str">
        <f>IF(COUNT(D41:G41)&lt;4,"",SUM(D41:G41))</f>
        <v/>
      </c>
      <c r="I41" s="2" t="str">
        <f>IF(H41="","",IF(H41&gt;=16,"Healthy",IF(H41&gt;=11,"Watch","At risk")))</f>
        <v/>
      </c>
      <c r="J41" s="2"/>
    </row>
    <row r="42" spans="1:10">
      <c r="A42" s="2"/>
      <c r="B42" s="2"/>
      <c r="C42" s="3"/>
      <c r="D42" s="2"/>
      <c r="E42" s="2"/>
      <c r="F42" s="2"/>
      <c r="G42" s="2"/>
      <c r="H42" s="2" t="str">
        <f>IF(COUNT(D42:G42)&lt;4,"",SUM(D42:G42))</f>
        <v/>
      </c>
      <c r="I42" s="2" t="str">
        <f>IF(H42="","",IF(H42&gt;=16,"Healthy",IF(H42&gt;=11,"Watch","At risk")))</f>
        <v/>
      </c>
      <c r="J42" s="2"/>
    </row>
    <row r="43" spans="1:10">
      <c r="A43" s="2"/>
      <c r="B43" s="2"/>
      <c r="C43" s="3"/>
      <c r="D43" s="2"/>
      <c r="E43" s="2"/>
      <c r="F43" s="2"/>
      <c r="G43" s="2"/>
      <c r="H43" s="2" t="str">
        <f>IF(COUNT(D43:G43)&lt;4,"",SUM(D43:G43))</f>
        <v/>
      </c>
      <c r="I43" s="2" t="str">
        <f>IF(H43="","",IF(H43&gt;=16,"Healthy",IF(H43&gt;=11,"Watch","At risk")))</f>
        <v/>
      </c>
      <c r="J43" s="2"/>
    </row>
    <row r="44" spans="1:10">
      <c r="A44" s="2"/>
      <c r="B44" s="2"/>
      <c r="C44" s="3"/>
      <c r="D44" s="2"/>
      <c r="E44" s="2"/>
      <c r="F44" s="2"/>
      <c r="G44" s="2"/>
      <c r="H44" s="2" t="str">
        <f>IF(COUNT(D44:G44)&lt;4,"",SUM(D44:G44))</f>
        <v/>
      </c>
      <c r="I44" s="2" t="str">
        <f>IF(H44="","",IF(H44&gt;=16,"Healthy",IF(H44&gt;=11,"Watch","At risk")))</f>
        <v/>
      </c>
      <c r="J44" s="2"/>
    </row>
    <row r="45" spans="1:10">
      <c r="A45" s="2"/>
      <c r="B45" s="2"/>
      <c r="C45" s="3"/>
      <c r="D45" s="2"/>
      <c r="E45" s="2"/>
      <c r="F45" s="2"/>
      <c r="G45" s="2"/>
      <c r="H45" s="2" t="str">
        <f>IF(COUNT(D45:G45)&lt;4,"",SUM(D45:G45))</f>
        <v/>
      </c>
      <c r="I45" s="2" t="str">
        <f>IF(H45="","",IF(H45&gt;=16,"Healthy",IF(H45&gt;=11,"Watch","At risk")))</f>
        <v/>
      </c>
      <c r="J45" s="2"/>
    </row>
    <row r="46" spans="1:10">
      <c r="A46" s="2"/>
      <c r="B46" s="2"/>
      <c r="C46" s="3"/>
      <c r="D46" s="2"/>
      <c r="E46" s="2"/>
      <c r="F46" s="2"/>
      <c r="G46" s="2"/>
      <c r="H46" s="2" t="str">
        <f>IF(COUNT(D46:G46)&lt;4,"",SUM(D46:G46))</f>
        <v/>
      </c>
      <c r="I46" s="2" t="str">
        <f>IF(H46="","",IF(H46&gt;=16,"Healthy",IF(H46&gt;=11,"Watch","At risk")))</f>
        <v/>
      </c>
      <c r="J46" s="2"/>
    </row>
    <row r="47" spans="1:10">
      <c r="A47" s="2"/>
      <c r="B47" s="2"/>
      <c r="C47" s="3"/>
      <c r="D47" s="2"/>
      <c r="E47" s="2"/>
      <c r="F47" s="2"/>
      <c r="G47" s="2"/>
      <c r="H47" s="2" t="str">
        <f>IF(COUNT(D47:G47)&lt;4,"",SUM(D47:G47))</f>
        <v/>
      </c>
      <c r="I47" s="2" t="str">
        <f>IF(H47="","",IF(H47&gt;=16,"Healthy",IF(H47&gt;=11,"Watch","At risk")))</f>
        <v/>
      </c>
      <c r="J47" s="2"/>
    </row>
    <row r="48" spans="1:10">
      <c r="A48" s="2"/>
      <c r="B48" s="2"/>
      <c r="C48" s="3"/>
      <c r="D48" s="2"/>
      <c r="E48" s="2"/>
      <c r="F48" s="2"/>
      <c r="G48" s="2"/>
      <c r="H48" s="2" t="str">
        <f>IF(COUNT(D48:G48)&lt;4,"",SUM(D48:G48))</f>
        <v/>
      </c>
      <c r="I48" s="2" t="str">
        <f>IF(H48="","",IF(H48&gt;=16,"Healthy",IF(H48&gt;=11,"Watch","At risk")))</f>
        <v/>
      </c>
      <c r="J48" s="2"/>
    </row>
    <row r="49" spans="1:10">
      <c r="A49" s="2"/>
      <c r="B49" s="2"/>
      <c r="C49" s="3"/>
      <c r="D49" s="2"/>
      <c r="E49" s="2"/>
      <c r="F49" s="2"/>
      <c r="G49" s="2"/>
      <c r="H49" s="2" t="str">
        <f>IF(COUNT(D49:G49)&lt;4,"",SUM(D49:G49))</f>
        <v/>
      </c>
      <c r="I49" s="2" t="str">
        <f>IF(H49="","",IF(H49&gt;=16,"Healthy",IF(H49&gt;=11,"Watch","At risk")))</f>
        <v/>
      </c>
      <c r="J49" s="2"/>
    </row>
    <row r="50" spans="1:10">
      <c r="A50" s="2"/>
      <c r="B50" s="2"/>
      <c r="C50" s="3"/>
      <c r="D50" s="2"/>
      <c r="E50" s="2"/>
      <c r="F50" s="2"/>
      <c r="G50" s="2"/>
      <c r="H50" s="2" t="str">
        <f>IF(COUNT(D50:G50)&lt;4,"",SUM(D50:G50))</f>
        <v/>
      </c>
      <c r="I50" s="2" t="str">
        <f>IF(H50="","",IF(H50&gt;=16,"Healthy",IF(H50&gt;=11,"Watch","At risk")))</f>
        <v/>
      </c>
      <c r="J50" s="2"/>
    </row>
    <row r="51" spans="1:10">
      <c r="A51" s="2"/>
      <c r="B51" s="2"/>
      <c r="C51" s="3"/>
      <c r="D51" s="2"/>
      <c r="E51" s="2"/>
      <c r="F51" s="2"/>
      <c r="G51" s="2"/>
      <c r="H51" s="2" t="str">
        <f>IF(COUNT(D51:G51)&lt;4,"",SUM(D51:G51))</f>
        <v/>
      </c>
      <c r="I51" s="2" t="str">
        <f>IF(H51="","",IF(H51&gt;=16,"Healthy",IF(H51&gt;=11,"Watch","At risk")))</f>
        <v/>
      </c>
      <c r="J51" s="2"/>
    </row>
    <row r="52" spans="1:10">
      <c r="A52" s="2"/>
      <c r="B52" s="2"/>
      <c r="C52" s="3"/>
      <c r="D52" s="2"/>
      <c r="E52" s="2"/>
      <c r="F52" s="2"/>
      <c r="G52" s="2"/>
      <c r="H52" s="2" t="str">
        <f>IF(COUNT(D52:G52)&lt;4,"",SUM(D52:G52))</f>
        <v/>
      </c>
      <c r="I52" s="2" t="str">
        <f>IF(H52="","",IF(H52&gt;=16,"Healthy",IF(H52&gt;=11,"Watch","At risk")))</f>
        <v/>
      </c>
      <c r="J52" s="2"/>
    </row>
    <row r="53" spans="1:10">
      <c r="A53" s="2"/>
      <c r="B53" s="2"/>
      <c r="C53" s="3"/>
      <c r="D53" s="2"/>
      <c r="E53" s="2"/>
      <c r="F53" s="2"/>
      <c r="G53" s="2"/>
      <c r="H53" s="2" t="str">
        <f>IF(COUNT(D53:G53)&lt;4,"",SUM(D53:G53))</f>
        <v/>
      </c>
      <c r="I53" s="2" t="str">
        <f>IF(H53="","",IF(H53&gt;=16,"Healthy",IF(H53&gt;=11,"Watch","At risk")))</f>
        <v/>
      </c>
      <c r="J53" s="2"/>
    </row>
    <row r="54" spans="1:10">
      <c r="A54" s="2"/>
      <c r="B54" s="2"/>
      <c r="C54" s="3"/>
      <c r="D54" s="2"/>
      <c r="E54" s="2"/>
      <c r="F54" s="2"/>
      <c r="G54" s="2"/>
      <c r="H54" s="2" t="str">
        <f>IF(COUNT(D54:G54)&lt;4,"",SUM(D54:G54))</f>
        <v/>
      </c>
      <c r="I54" s="2" t="str">
        <f>IF(H54="","",IF(H54&gt;=16,"Healthy",IF(H54&gt;=11,"Watch","At risk")))</f>
        <v/>
      </c>
      <c r="J54" s="2"/>
    </row>
    <row r="55" spans="1:10">
      <c r="A55" s="2"/>
      <c r="B55" s="2"/>
      <c r="C55" s="3"/>
      <c r="D55" s="2"/>
      <c r="E55" s="2"/>
      <c r="F55" s="2"/>
      <c r="G55" s="2"/>
      <c r="H55" s="2" t="str">
        <f>IF(COUNT(D55:G55)&lt;4,"",SUM(D55:G55))</f>
        <v/>
      </c>
      <c r="I55" s="2" t="str">
        <f>IF(H55="","",IF(H55&gt;=16,"Healthy",IF(H55&gt;=11,"Watch","At risk")))</f>
        <v/>
      </c>
      <c r="J55" s="2"/>
    </row>
    <row r="56" spans="1:10">
      <c r="A56" s="2"/>
      <c r="B56" s="2"/>
      <c r="C56" s="3"/>
      <c r="D56" s="2"/>
      <c r="E56" s="2"/>
      <c r="F56" s="2"/>
      <c r="G56" s="2"/>
      <c r="H56" s="2" t="str">
        <f>IF(COUNT(D56:G56)&lt;4,"",SUM(D56:G56))</f>
        <v/>
      </c>
      <c r="I56" s="2" t="str">
        <f>IF(H56="","",IF(H56&gt;=16,"Healthy",IF(H56&gt;=11,"Watch","At risk")))</f>
        <v/>
      </c>
      <c r="J56" s="2"/>
    </row>
    <row r="57" spans="1:10">
      <c r="A57" s="2"/>
      <c r="B57" s="2"/>
      <c r="C57" s="3"/>
      <c r="D57" s="2"/>
      <c r="E57" s="2"/>
      <c r="F57" s="2"/>
      <c r="G57" s="2"/>
      <c r="H57" s="2" t="str">
        <f>IF(COUNT(D57:G57)&lt;4,"",SUM(D57:G57))</f>
        <v/>
      </c>
      <c r="I57" s="2" t="str">
        <f>IF(H57="","",IF(H57&gt;=16,"Healthy",IF(H57&gt;=11,"Watch","At risk")))</f>
        <v/>
      </c>
      <c r="J57" s="2"/>
    </row>
    <row r="58" spans="1:10">
      <c r="A58" s="2"/>
      <c r="B58" s="2"/>
      <c r="C58" s="3"/>
      <c r="D58" s="2"/>
      <c r="E58" s="2"/>
      <c r="F58" s="2"/>
      <c r="G58" s="2"/>
      <c r="H58" s="2" t="str">
        <f>IF(COUNT(D58:G58)&lt;4,"",SUM(D58:G58))</f>
        <v/>
      </c>
      <c r="I58" s="2" t="str">
        <f>IF(H58="","",IF(H58&gt;=16,"Healthy",IF(H58&gt;=11,"Watch","At risk")))</f>
        <v/>
      </c>
      <c r="J58" s="2"/>
    </row>
    <row r="59" spans="1:10">
      <c r="A59" s="2"/>
      <c r="B59" s="2"/>
      <c r="C59" s="3"/>
      <c r="D59" s="2"/>
      <c r="E59" s="2"/>
      <c r="F59" s="2"/>
      <c r="G59" s="2"/>
      <c r="H59" s="2" t="str">
        <f>IF(COUNT(D59:G59)&lt;4,"",SUM(D59:G59))</f>
        <v/>
      </c>
      <c r="I59" s="2" t="str">
        <f>IF(H59="","",IF(H59&gt;=16,"Healthy",IF(H59&gt;=11,"Watch","At risk")))</f>
        <v/>
      </c>
      <c r="J59" s="2"/>
    </row>
    <row r="60" spans="1:10">
      <c r="A60" s="2"/>
      <c r="B60" s="2"/>
      <c r="C60" s="3"/>
      <c r="D60" s="2"/>
      <c r="E60" s="2"/>
      <c r="F60" s="2"/>
      <c r="G60" s="2"/>
      <c r="H60" s="2" t="str">
        <f>IF(COUNT(D60:G60)&lt;4,"",SUM(D60:G60))</f>
        <v/>
      </c>
      <c r="I60" s="2" t="str">
        <f>IF(H60="","",IF(H60&gt;=16,"Healthy",IF(H60&gt;=11,"Watch","At risk")))</f>
        <v/>
      </c>
      <c r="J60" s="2"/>
    </row>
    <row r="61" spans="1:10">
      <c r="A61" s="2"/>
      <c r="B61" s="2"/>
      <c r="C61" s="3"/>
      <c r="D61" s="2"/>
      <c r="E61" s="2"/>
      <c r="F61" s="2"/>
      <c r="G61" s="2"/>
      <c r="H61" s="2" t="str">
        <f>IF(COUNT(D61:G61)&lt;4,"",SUM(D61:G61))</f>
        <v/>
      </c>
      <c r="I61" s="2" t="str">
        <f>IF(H61="","",IF(H61&gt;=16,"Healthy",IF(H61&gt;=11,"Watch","At risk")))</f>
        <v/>
      </c>
      <c r="J61" s="2"/>
    </row>
    <row r="62" spans="1:10">
      <c r="A62" s="2"/>
      <c r="B62" s="2"/>
      <c r="C62" s="3"/>
      <c r="D62" s="2"/>
      <c r="E62" s="2"/>
      <c r="F62" s="2"/>
      <c r="G62" s="2"/>
      <c r="H62" s="2" t="str">
        <f>IF(COUNT(D62:G62)&lt;4,"",SUM(D62:G62))</f>
        <v/>
      </c>
      <c r="I62" s="2" t="str">
        <f>IF(H62="","",IF(H62&gt;=16,"Healthy",IF(H62&gt;=11,"Watch","At risk")))</f>
        <v/>
      </c>
      <c r="J62" s="2"/>
    </row>
    <row r="63" spans="1:10">
      <c r="A63" s="2"/>
      <c r="B63" s="2"/>
      <c r="C63" s="3"/>
      <c r="D63" s="2"/>
      <c r="E63" s="2"/>
      <c r="F63" s="2"/>
      <c r="G63" s="2"/>
      <c r="H63" s="2" t="str">
        <f>IF(COUNT(D63:G63)&lt;4,"",SUM(D63:G63))</f>
        <v/>
      </c>
      <c r="I63" s="2" t="str">
        <f>IF(H63="","",IF(H63&gt;=16,"Healthy",IF(H63&gt;=11,"Watch","At risk")))</f>
        <v/>
      </c>
      <c r="J63" s="2"/>
    </row>
    <row r="64" spans="1:10">
      <c r="A64" s="2"/>
      <c r="B64" s="2"/>
      <c r="C64" s="3"/>
      <c r="D64" s="2"/>
      <c r="E64" s="2"/>
      <c r="F64" s="2"/>
      <c r="G64" s="2"/>
      <c r="H64" s="2" t="str">
        <f>IF(COUNT(D64:G64)&lt;4,"",SUM(D64:G64))</f>
        <v/>
      </c>
      <c r="I64" s="2" t="str">
        <f>IF(H64="","",IF(H64&gt;=16,"Healthy",IF(H64&gt;=11,"Watch","At risk")))</f>
        <v/>
      </c>
      <c r="J64" s="2"/>
    </row>
    <row r="65" spans="1:10">
      <c r="A65" s="2"/>
      <c r="B65" s="2"/>
      <c r="C65" s="3"/>
      <c r="D65" s="2"/>
      <c r="E65" s="2"/>
      <c r="F65" s="2"/>
      <c r="G65" s="2"/>
      <c r="H65" s="2" t="str">
        <f>IF(COUNT(D65:G65)&lt;4,"",SUM(D65:G65))</f>
        <v/>
      </c>
      <c r="I65" s="2" t="str">
        <f>IF(H65="","",IF(H65&gt;=16,"Healthy",IF(H65&gt;=11,"Watch","At risk")))</f>
        <v/>
      </c>
      <c r="J65" s="2"/>
    </row>
    <row r="66" spans="1:10">
      <c r="A66" s="2"/>
      <c r="B66" s="2"/>
      <c r="C66" s="3"/>
      <c r="D66" s="2"/>
      <c r="E66" s="2"/>
      <c r="F66" s="2"/>
      <c r="G66" s="2"/>
      <c r="H66" s="2" t="str">
        <f>IF(COUNT(D66:G66)&lt;4,"",SUM(D66:G66))</f>
        <v/>
      </c>
      <c r="I66" s="2" t="str">
        <f>IF(H66="","",IF(H66&gt;=16,"Healthy",IF(H66&gt;=11,"Watch","At risk")))</f>
        <v/>
      </c>
      <c r="J66" s="2"/>
    </row>
    <row r="67" spans="1:10">
      <c r="A67" s="2"/>
      <c r="B67" s="2"/>
      <c r="C67" s="3"/>
      <c r="D67" s="2"/>
      <c r="E67" s="2"/>
      <c r="F67" s="2"/>
      <c r="G67" s="2"/>
      <c r="H67" s="2" t="str">
        <f>IF(COUNT(D67:G67)&lt;4,"",SUM(D67:G67))</f>
        <v/>
      </c>
      <c r="I67" s="2" t="str">
        <f>IF(H67="","",IF(H67&gt;=16,"Healthy",IF(H67&gt;=11,"Watch","At risk")))</f>
        <v/>
      </c>
      <c r="J67" s="2"/>
    </row>
    <row r="68" spans="1:10">
      <c r="A68" s="2"/>
      <c r="B68" s="2"/>
      <c r="C68" s="3"/>
      <c r="D68" s="2"/>
      <c r="E68" s="2"/>
      <c r="F68" s="2"/>
      <c r="G68" s="2"/>
      <c r="H68" s="2" t="str">
        <f>IF(COUNT(D68:G68)&lt;4,"",SUM(D68:G68))</f>
        <v/>
      </c>
      <c r="I68" s="2" t="str">
        <f>IF(H68="","",IF(H68&gt;=16,"Healthy",IF(H68&gt;=11,"Watch","At risk")))</f>
        <v/>
      </c>
      <c r="J68" s="2"/>
    </row>
    <row r="69" spans="1:10">
      <c r="A69" s="2"/>
      <c r="B69" s="2"/>
      <c r="C69" s="3"/>
      <c r="D69" s="2"/>
      <c r="E69" s="2"/>
      <c r="F69" s="2"/>
      <c r="G69" s="2"/>
      <c r="H69" s="2" t="str">
        <f>IF(COUNT(D69:G69)&lt;4,"",SUM(D69:G69))</f>
        <v/>
      </c>
      <c r="I69" s="2" t="str">
        <f>IF(H69="","",IF(H69&gt;=16,"Healthy",IF(H69&gt;=11,"Watch","At risk")))</f>
        <v/>
      </c>
      <c r="J69" s="2"/>
    </row>
    <row r="70" spans="1:10">
      <c r="A70" s="2"/>
      <c r="B70" s="2"/>
      <c r="C70" s="3"/>
      <c r="D70" s="2"/>
      <c r="E70" s="2"/>
      <c r="F70" s="2"/>
      <c r="G70" s="2"/>
      <c r="H70" s="2" t="str">
        <f>IF(COUNT(D70:G70)&lt;4,"",SUM(D70:G70))</f>
        <v/>
      </c>
      <c r="I70" s="2" t="str">
        <f>IF(H70="","",IF(H70&gt;=16,"Healthy",IF(H70&gt;=11,"Watch","At risk")))</f>
        <v/>
      </c>
      <c r="J70" s="2"/>
    </row>
    <row r="71" spans="1:10">
      <c r="A71" s="2"/>
      <c r="B71" s="2"/>
      <c r="C71" s="3"/>
      <c r="D71" s="2"/>
      <c r="E71" s="2"/>
      <c r="F71" s="2"/>
      <c r="G71" s="2"/>
      <c r="H71" s="2" t="str">
        <f>IF(COUNT(D71:G71)&lt;4,"",SUM(D71:G71))</f>
        <v/>
      </c>
      <c r="I71" s="2" t="str">
        <f>IF(H71="","",IF(H71&gt;=16,"Healthy",IF(H71&gt;=11,"Watch","At risk")))</f>
        <v/>
      </c>
      <c r="J71" s="2"/>
    </row>
    <row r="72" spans="1:10">
      <c r="A72" s="2"/>
      <c r="B72" s="2"/>
      <c r="C72" s="3"/>
      <c r="D72" s="2"/>
      <c r="E72" s="2"/>
      <c r="F72" s="2"/>
      <c r="G72" s="2"/>
      <c r="H72" s="2" t="str">
        <f>IF(COUNT(D72:G72)&lt;4,"",SUM(D72:G72))</f>
        <v/>
      </c>
      <c r="I72" s="2" t="str">
        <f>IF(H72="","",IF(H72&gt;=16,"Healthy",IF(H72&gt;=11,"Watch","At risk")))</f>
        <v/>
      </c>
      <c r="J72" s="2"/>
    </row>
    <row r="73" spans="1:10">
      <c r="A73" s="2"/>
      <c r="B73" s="2"/>
      <c r="C73" s="3"/>
      <c r="D73" s="2"/>
      <c r="E73" s="2"/>
      <c r="F73" s="2"/>
      <c r="G73" s="2"/>
      <c r="H73" s="2" t="str">
        <f>IF(COUNT(D73:G73)&lt;4,"",SUM(D73:G73))</f>
        <v/>
      </c>
      <c r="I73" s="2" t="str">
        <f>IF(H73="","",IF(H73&gt;=16,"Healthy",IF(H73&gt;=11,"Watch","At risk")))</f>
        <v/>
      </c>
      <c r="J73" s="2"/>
    </row>
    <row r="74" spans="1:10">
      <c r="A74" s="2"/>
      <c r="B74" s="2"/>
      <c r="C74" s="3"/>
      <c r="D74" s="2"/>
      <c r="E74" s="2"/>
      <c r="F74" s="2"/>
      <c r="G74" s="2"/>
      <c r="H74" s="2" t="str">
        <f>IF(COUNT(D74:G74)&lt;4,"",SUM(D74:G74))</f>
        <v/>
      </c>
      <c r="I74" s="2" t="str">
        <f>IF(H74="","",IF(H74&gt;=16,"Healthy",IF(H74&gt;=11,"Watch","At risk")))</f>
        <v/>
      </c>
      <c r="J74" s="2"/>
    </row>
    <row r="75" spans="1:10">
      <c r="A75" s="2"/>
      <c r="B75" s="2"/>
      <c r="C75" s="3"/>
      <c r="D75" s="2"/>
      <c r="E75" s="2"/>
      <c r="F75" s="2"/>
      <c r="G75" s="2"/>
      <c r="H75" s="2" t="str">
        <f>IF(COUNT(D75:G75)&lt;4,"",SUM(D75:G75))</f>
        <v/>
      </c>
      <c r="I75" s="2" t="str">
        <f>IF(H75="","",IF(H75&gt;=16,"Healthy",IF(H75&gt;=11,"Watch","At risk")))</f>
        <v/>
      </c>
      <c r="J75" s="2"/>
    </row>
    <row r="76" spans="1:10">
      <c r="A76" s="2"/>
      <c r="B76" s="2"/>
      <c r="C76" s="3"/>
      <c r="D76" s="2"/>
      <c r="E76" s="2"/>
      <c r="F76" s="2"/>
      <c r="G76" s="2"/>
      <c r="H76" s="2" t="str">
        <f>IF(COUNT(D76:G76)&lt;4,"",SUM(D76:G76))</f>
        <v/>
      </c>
      <c r="I76" s="2" t="str">
        <f>IF(H76="","",IF(H76&gt;=16,"Healthy",IF(H76&gt;=11,"Watch","At risk")))</f>
        <v/>
      </c>
      <c r="J76" s="2"/>
    </row>
    <row r="77" spans="1:10">
      <c r="A77" s="2"/>
      <c r="B77" s="2"/>
      <c r="C77" s="3"/>
      <c r="D77" s="2"/>
      <c r="E77" s="2"/>
      <c r="F77" s="2"/>
      <c r="G77" s="2"/>
      <c r="H77" s="2" t="str">
        <f>IF(COUNT(D77:G77)&lt;4,"",SUM(D77:G77))</f>
        <v/>
      </c>
      <c r="I77" s="2" t="str">
        <f>IF(H77="","",IF(H77&gt;=16,"Healthy",IF(H77&gt;=11,"Watch","At risk")))</f>
        <v/>
      </c>
      <c r="J77" s="2"/>
    </row>
    <row r="78" spans="1:10">
      <c r="A78" s="2"/>
      <c r="B78" s="2"/>
      <c r="C78" s="3"/>
      <c r="D78" s="2"/>
      <c r="E78" s="2"/>
      <c r="F78" s="2"/>
      <c r="G78" s="2"/>
      <c r="H78" s="2" t="str">
        <f>IF(COUNT(D78:G78)&lt;4,"",SUM(D78:G78))</f>
        <v/>
      </c>
      <c r="I78" s="2" t="str">
        <f>IF(H78="","",IF(H78&gt;=16,"Healthy",IF(H78&gt;=11,"Watch","At risk")))</f>
        <v/>
      </c>
      <c r="J78" s="2"/>
    </row>
    <row r="79" spans="1:10">
      <c r="A79" s="2"/>
      <c r="B79" s="2"/>
      <c r="C79" s="3"/>
      <c r="D79" s="2"/>
      <c r="E79" s="2"/>
      <c r="F79" s="2"/>
      <c r="G79" s="2"/>
      <c r="H79" s="2" t="str">
        <f>IF(COUNT(D79:G79)&lt;4,"",SUM(D79:G79))</f>
        <v/>
      </c>
      <c r="I79" s="2" t="str">
        <f>IF(H79="","",IF(H79&gt;=16,"Healthy",IF(H79&gt;=11,"Watch","At risk")))</f>
        <v/>
      </c>
      <c r="J79" s="2"/>
    </row>
    <row r="80" spans="1:10">
      <c r="A80" s="2"/>
      <c r="B80" s="2"/>
      <c r="C80" s="3"/>
      <c r="D80" s="2"/>
      <c r="E80" s="2"/>
      <c r="F80" s="2"/>
      <c r="G80" s="2"/>
      <c r="H80" s="2" t="str">
        <f>IF(COUNT(D80:G80)&lt;4,"",SUM(D80:G80))</f>
        <v/>
      </c>
      <c r="I80" s="2" t="str">
        <f>IF(H80="","",IF(H80&gt;=16,"Healthy",IF(H80&gt;=11,"Watch","At risk")))</f>
        <v/>
      </c>
      <c r="J80" s="2"/>
    </row>
    <row r="81" spans="1:10">
      <c r="A81" s="2"/>
      <c r="B81" s="2"/>
      <c r="C81" s="3"/>
      <c r="D81" s="2"/>
      <c r="E81" s="2"/>
      <c r="F81" s="2"/>
      <c r="G81" s="2"/>
      <c r="H81" s="2" t="str">
        <f>IF(COUNT(D81:G81)&lt;4,"",SUM(D81:G81))</f>
        <v/>
      </c>
      <c r="I81" s="2" t="str">
        <f>IF(H81="","",IF(H81&gt;=16,"Healthy",IF(H81&gt;=11,"Watch","At risk")))</f>
        <v/>
      </c>
      <c r="J81" s="2"/>
    </row>
    <row r="82" spans="1:10">
      <c r="A82" s="2"/>
      <c r="B82" s="2"/>
      <c r="C82" s="3"/>
      <c r="D82" s="2"/>
      <c r="E82" s="2"/>
      <c r="F82" s="2"/>
      <c r="G82" s="2"/>
      <c r="H82" s="2" t="str">
        <f>IF(COUNT(D82:G82)&lt;4,"",SUM(D82:G82))</f>
        <v/>
      </c>
      <c r="I82" s="2" t="str">
        <f>IF(H82="","",IF(H82&gt;=16,"Healthy",IF(H82&gt;=11,"Watch","At risk")))</f>
        <v/>
      </c>
      <c r="J82" s="2"/>
    </row>
    <row r="83" spans="1:10">
      <c r="A83" s="2"/>
      <c r="B83" s="2"/>
      <c r="C83" s="3"/>
      <c r="D83" s="2"/>
      <c r="E83" s="2"/>
      <c r="F83" s="2"/>
      <c r="G83" s="2"/>
      <c r="H83" s="2" t="str">
        <f>IF(COUNT(D83:G83)&lt;4,"",SUM(D83:G83))</f>
        <v/>
      </c>
      <c r="I83" s="2" t="str">
        <f>IF(H83="","",IF(H83&gt;=16,"Healthy",IF(H83&gt;=11,"Watch","At risk")))</f>
        <v/>
      </c>
      <c r="J83" s="2"/>
    </row>
    <row r="84" spans="1:10">
      <c r="A84" s="2"/>
      <c r="B84" s="2"/>
      <c r="C84" s="3"/>
      <c r="D84" s="2"/>
      <c r="E84" s="2"/>
      <c r="F84" s="2"/>
      <c r="G84" s="2"/>
      <c r="H84" s="2" t="str">
        <f>IF(COUNT(D84:G84)&lt;4,"",SUM(D84:G84))</f>
        <v/>
      </c>
      <c r="I84" s="2" t="str">
        <f>IF(H84="","",IF(H84&gt;=16,"Healthy",IF(H84&gt;=11,"Watch","At risk")))</f>
        <v/>
      </c>
      <c r="J84" s="2"/>
    </row>
    <row r="85" spans="1:10">
      <c r="A85" s="2"/>
      <c r="B85" s="2"/>
      <c r="C85" s="3"/>
      <c r="D85" s="2"/>
      <c r="E85" s="2"/>
      <c r="F85" s="2"/>
      <c r="G85" s="2"/>
      <c r="H85" s="2" t="str">
        <f>IF(COUNT(D85:G85)&lt;4,"",SUM(D85:G85))</f>
        <v/>
      </c>
      <c r="I85" s="2" t="str">
        <f>IF(H85="","",IF(H85&gt;=16,"Healthy",IF(H85&gt;=11,"Watch","At risk")))</f>
        <v/>
      </c>
      <c r="J85" s="2"/>
    </row>
    <row r="86" spans="1:10">
      <c r="A86" s="2"/>
      <c r="B86" s="2"/>
      <c r="C86" s="3"/>
      <c r="D86" s="2"/>
      <c r="E86" s="2"/>
      <c r="F86" s="2"/>
      <c r="G86" s="2"/>
      <c r="H86" s="2" t="str">
        <f>IF(COUNT(D86:G86)&lt;4,"",SUM(D86:G86))</f>
        <v/>
      </c>
      <c r="I86" s="2" t="str">
        <f>IF(H86="","",IF(H86&gt;=16,"Healthy",IF(H86&gt;=11,"Watch","At risk")))</f>
        <v/>
      </c>
      <c r="J86" s="2"/>
    </row>
    <row r="87" spans="1:10">
      <c r="A87" s="2"/>
      <c r="B87" s="2"/>
      <c r="C87" s="3"/>
      <c r="D87" s="2"/>
      <c r="E87" s="2"/>
      <c r="F87" s="2"/>
      <c r="G87" s="2"/>
      <c r="H87" s="2" t="str">
        <f>IF(COUNT(D87:G87)&lt;4,"",SUM(D87:G87))</f>
        <v/>
      </c>
      <c r="I87" s="2" t="str">
        <f>IF(H87="","",IF(H87&gt;=16,"Healthy",IF(H87&gt;=11,"Watch","At risk")))</f>
        <v/>
      </c>
      <c r="J87" s="2"/>
    </row>
    <row r="88" spans="1:10">
      <c r="A88" s="2"/>
      <c r="B88" s="2"/>
      <c r="C88" s="3"/>
      <c r="D88" s="2"/>
      <c r="E88" s="2"/>
      <c r="F88" s="2"/>
      <c r="G88" s="2"/>
      <c r="H88" s="2" t="str">
        <f>IF(COUNT(D88:G88)&lt;4,"",SUM(D88:G88))</f>
        <v/>
      </c>
      <c r="I88" s="2" t="str">
        <f>IF(H88="","",IF(H88&gt;=16,"Healthy",IF(H88&gt;=11,"Watch","At risk")))</f>
        <v/>
      </c>
      <c r="J88" s="2"/>
    </row>
    <row r="89" spans="1:10">
      <c r="A89" s="2"/>
      <c r="B89" s="2"/>
      <c r="C89" s="3"/>
      <c r="D89" s="2"/>
      <c r="E89" s="2"/>
      <c r="F89" s="2"/>
      <c r="G89" s="2"/>
      <c r="H89" s="2" t="str">
        <f>IF(COUNT(D89:G89)&lt;4,"",SUM(D89:G89))</f>
        <v/>
      </c>
      <c r="I89" s="2" t="str">
        <f>IF(H89="","",IF(H89&gt;=16,"Healthy",IF(H89&gt;=11,"Watch","At risk")))</f>
        <v/>
      </c>
      <c r="J89" s="2"/>
    </row>
    <row r="90" spans="1:10">
      <c r="A90" s="2"/>
      <c r="B90" s="2"/>
      <c r="C90" s="3"/>
      <c r="D90" s="2"/>
      <c r="E90" s="2"/>
      <c r="F90" s="2"/>
      <c r="G90" s="2"/>
      <c r="H90" s="2" t="str">
        <f>IF(COUNT(D90:G90)&lt;4,"",SUM(D90:G90))</f>
        <v/>
      </c>
      <c r="I90" s="2" t="str">
        <f>IF(H90="","",IF(H90&gt;=16,"Healthy",IF(H90&gt;=11,"Watch","At risk")))</f>
        <v/>
      </c>
      <c r="J90" s="2"/>
    </row>
    <row r="91" spans="1:10">
      <c r="A91" s="2"/>
      <c r="B91" s="2"/>
      <c r="C91" s="3"/>
      <c r="D91" s="2"/>
      <c r="E91" s="2"/>
      <c r="F91" s="2"/>
      <c r="G91" s="2"/>
      <c r="H91" s="2" t="str">
        <f>IF(COUNT(D91:G91)&lt;4,"",SUM(D91:G91))</f>
        <v/>
      </c>
      <c r="I91" s="2" t="str">
        <f>IF(H91="","",IF(H91&gt;=16,"Healthy",IF(H91&gt;=11,"Watch","At risk")))</f>
        <v/>
      </c>
      <c r="J91" s="2"/>
    </row>
    <row r="92" spans="1:10">
      <c r="A92" s="2"/>
      <c r="B92" s="2"/>
      <c r="C92" s="3"/>
      <c r="D92" s="2"/>
      <c r="E92" s="2"/>
      <c r="F92" s="2"/>
      <c r="G92" s="2"/>
      <c r="H92" s="2" t="str">
        <f>IF(COUNT(D92:G92)&lt;4,"",SUM(D92:G92))</f>
        <v/>
      </c>
      <c r="I92" s="2" t="str">
        <f>IF(H92="","",IF(H92&gt;=16,"Healthy",IF(H92&gt;=11,"Watch","At risk")))</f>
        <v/>
      </c>
      <c r="J92" s="2"/>
    </row>
    <row r="93" spans="1:10">
      <c r="A93" s="2"/>
      <c r="B93" s="2"/>
      <c r="C93" s="3"/>
      <c r="D93" s="2"/>
      <c r="E93" s="2"/>
      <c r="F93" s="2"/>
      <c r="G93" s="2"/>
      <c r="H93" s="2" t="str">
        <f>IF(COUNT(D93:G93)&lt;4,"",SUM(D93:G93))</f>
        <v/>
      </c>
      <c r="I93" s="2" t="str">
        <f>IF(H93="","",IF(H93&gt;=16,"Healthy",IF(H93&gt;=11,"Watch","At risk")))</f>
        <v/>
      </c>
      <c r="J93" s="2"/>
    </row>
    <row r="94" spans="1:10">
      <c r="A94" s="2"/>
      <c r="B94" s="2"/>
      <c r="C94" s="3"/>
      <c r="D94" s="2"/>
      <c r="E94" s="2"/>
      <c r="F94" s="2"/>
      <c r="G94" s="2"/>
      <c r="H94" s="2" t="str">
        <f>IF(COUNT(D94:G94)&lt;4,"",SUM(D94:G94))</f>
        <v/>
      </c>
      <c r="I94" s="2" t="str">
        <f>IF(H94="","",IF(H94&gt;=16,"Healthy",IF(H94&gt;=11,"Watch","At risk")))</f>
        <v/>
      </c>
      <c r="J94" s="2"/>
    </row>
    <row r="95" spans="1:10">
      <c r="A95" s="2"/>
      <c r="B95" s="2"/>
      <c r="C95" s="3"/>
      <c r="D95" s="2"/>
      <c r="E95" s="2"/>
      <c r="F95" s="2"/>
      <c r="G95" s="2"/>
      <c r="H95" s="2" t="str">
        <f>IF(COUNT(D95:G95)&lt;4,"",SUM(D95:G95))</f>
        <v/>
      </c>
      <c r="I95" s="2" t="str">
        <f>IF(H95="","",IF(H95&gt;=16,"Healthy",IF(H95&gt;=11,"Watch","At risk")))</f>
        <v/>
      </c>
      <c r="J95" s="2"/>
    </row>
    <row r="96" spans="1:10">
      <c r="A96" s="2"/>
      <c r="B96" s="2"/>
      <c r="C96" s="3"/>
      <c r="D96" s="2"/>
      <c r="E96" s="2"/>
      <c r="F96" s="2"/>
      <c r="G96" s="2"/>
      <c r="H96" s="2" t="str">
        <f>IF(COUNT(D96:G96)&lt;4,"",SUM(D96:G96))</f>
        <v/>
      </c>
      <c r="I96" s="2" t="str">
        <f>IF(H96="","",IF(H96&gt;=16,"Healthy",IF(H96&gt;=11,"Watch","At risk")))</f>
        <v/>
      </c>
      <c r="J96" s="2"/>
    </row>
    <row r="97" spans="1:10">
      <c r="A97" s="2"/>
      <c r="B97" s="2"/>
      <c r="C97" s="3"/>
      <c r="D97" s="2"/>
      <c r="E97" s="2"/>
      <c r="F97" s="2"/>
      <c r="G97" s="2"/>
      <c r="H97" s="2" t="str">
        <f>IF(COUNT(D97:G97)&lt;4,"",SUM(D97:G97))</f>
        <v/>
      </c>
      <c r="I97" s="2" t="str">
        <f>IF(H97="","",IF(H97&gt;=16,"Healthy",IF(H97&gt;=11,"Watch","At risk")))</f>
        <v/>
      </c>
      <c r="J97" s="2"/>
    </row>
    <row r="98" spans="1:10">
      <c r="A98" s="2"/>
      <c r="B98" s="2"/>
      <c r="C98" s="3"/>
      <c r="D98" s="2"/>
      <c r="E98" s="2"/>
      <c r="F98" s="2"/>
      <c r="G98" s="2"/>
      <c r="H98" s="2" t="str">
        <f>IF(COUNT(D98:G98)&lt;4,"",SUM(D98:G98))</f>
        <v/>
      </c>
      <c r="I98" s="2" t="str">
        <f>IF(H98="","",IF(H98&gt;=16,"Healthy",IF(H98&gt;=11,"Watch","At risk")))</f>
        <v/>
      </c>
      <c r="J98" s="2"/>
    </row>
    <row r="99" spans="1:10">
      <c r="A99" s="2"/>
      <c r="B99" s="2"/>
      <c r="C99" s="3"/>
      <c r="D99" s="2"/>
      <c r="E99" s="2"/>
      <c r="F99" s="2"/>
      <c r="G99" s="2"/>
      <c r="H99" s="2" t="str">
        <f>IF(COUNT(D99:G99)&lt;4,"",SUM(D99:G99))</f>
        <v/>
      </c>
      <c r="I99" s="2" t="str">
        <f>IF(H99="","",IF(H99&gt;=16,"Healthy",IF(H99&gt;=11,"Watch","At risk")))</f>
        <v/>
      </c>
      <c r="J99" s="2"/>
    </row>
    <row r="100" spans="1:10">
      <c r="A100" s="2"/>
      <c r="B100" s="2"/>
      <c r="C100" s="3"/>
      <c r="D100" s="2"/>
      <c r="E100" s="2"/>
      <c r="F100" s="2"/>
      <c r="G100" s="2"/>
      <c r="H100" s="2" t="str">
        <f>IF(COUNT(D100:G100)&lt;4,"",SUM(D100:G100))</f>
        <v/>
      </c>
      <c r="I100" s="2" t="str">
        <f>IF(H100="","",IF(H100&gt;=16,"Healthy",IF(H100&gt;=11,"Watch","At risk")))</f>
        <v/>
      </c>
      <c r="J100" s="2"/>
    </row>
    <row r="101" spans="1:10">
      <c r="A101" s="2"/>
      <c r="B101" s="2"/>
      <c r="C101" s="3"/>
      <c r="D101" s="2"/>
      <c r="E101" s="2"/>
      <c r="F101" s="2"/>
      <c r="G101" s="2"/>
      <c r="H101" s="2" t="str">
        <f>IF(COUNT(D101:G101)&lt;4,"",SUM(D101:G101))</f>
        <v/>
      </c>
      <c r="I101" s="2" t="str">
        <f>IF(H101="","",IF(H101&gt;=16,"Healthy",IF(H101&gt;=11,"Watch","At risk")))</f>
        <v/>
      </c>
      <c r="J101" s="2"/>
    </row>
    <row r="102" spans="1:10">
      <c r="A102" s="2"/>
      <c r="B102" s="2"/>
      <c r="C102" s="3"/>
      <c r="D102" s="2"/>
      <c r="E102" s="2"/>
      <c r="F102" s="2"/>
      <c r="G102" s="2"/>
      <c r="H102" s="2" t="str">
        <f>IF(COUNT(D102:G102)&lt;4,"",SUM(D102:G102))</f>
        <v/>
      </c>
      <c r="I102" s="2" t="str">
        <f>IF(H102="","",IF(H102&gt;=16,"Healthy",IF(H102&gt;=11,"Watch","At risk")))</f>
        <v/>
      </c>
      <c r="J102" s="2"/>
    </row>
    <row r="103" spans="1:10">
      <c r="A103" s="2"/>
      <c r="B103" s="2"/>
      <c r="C103" s="3"/>
      <c r="D103" s="2"/>
      <c r="E103" s="2"/>
      <c r="F103" s="2"/>
      <c r="G103" s="2"/>
      <c r="H103" s="2" t="str">
        <f>IF(COUNT(D103:G103)&lt;4,"",SUM(D103:G103))</f>
        <v/>
      </c>
      <c r="I103" s="2" t="str">
        <f>IF(H103="","",IF(H103&gt;=16,"Healthy",IF(H103&gt;=11,"Watch","At risk")))</f>
        <v/>
      </c>
      <c r="J103" s="2"/>
    </row>
    <row r="104" spans="1:10">
      <c r="A104" s="2"/>
      <c r="B104" s="2"/>
      <c r="C104" s="3"/>
      <c r="D104" s="2"/>
      <c r="E104" s="2"/>
      <c r="F104" s="2"/>
      <c r="G104" s="2"/>
      <c r="H104" s="2" t="str">
        <f>IF(COUNT(D104:G104)&lt;4,"",SUM(D104:G104))</f>
        <v/>
      </c>
      <c r="I104" s="2" t="str">
        <f>IF(H104="","",IF(H104&gt;=16,"Healthy",IF(H104&gt;=11,"Watch","At risk")))</f>
        <v/>
      </c>
      <c r="J104" s="2"/>
    </row>
    <row r="105" spans="1:10">
      <c r="A105" s="2"/>
      <c r="B105" s="2"/>
      <c r="C105" s="3"/>
      <c r="D105" s="2"/>
      <c r="E105" s="2"/>
      <c r="F105" s="2"/>
      <c r="G105" s="2"/>
      <c r="H105" s="2" t="str">
        <f>IF(COUNT(D105:G105)&lt;4,"",SUM(D105:G105))</f>
        <v/>
      </c>
      <c r="I105" s="2" t="str">
        <f>IF(H105="","",IF(H105&gt;=16,"Healthy",IF(H105&gt;=11,"Watch","At risk")))</f>
        <v/>
      </c>
      <c r="J105" s="2"/>
    </row>
    <row r="106" spans="1:10">
      <c r="A106" s="2"/>
      <c r="B106" s="2"/>
      <c r="C106" s="3"/>
      <c r="D106" s="2"/>
      <c r="E106" s="2"/>
      <c r="F106" s="2"/>
      <c r="G106" s="2"/>
      <c r="H106" s="2" t="str">
        <f>IF(COUNT(D106:G106)&lt;4,"",SUM(D106:G106))</f>
        <v/>
      </c>
      <c r="I106" s="2" t="str">
        <f>IF(H106="","",IF(H106&gt;=16,"Healthy",IF(H106&gt;=11,"Watch","At risk")))</f>
        <v/>
      </c>
      <c r="J106" s="2"/>
    </row>
    <row r="107" spans="1:10">
      <c r="A107" s="2"/>
      <c r="B107" s="2"/>
      <c r="C107" s="3"/>
      <c r="D107" s="2"/>
      <c r="E107" s="2"/>
      <c r="F107" s="2"/>
      <c r="G107" s="2"/>
      <c r="H107" s="2" t="str">
        <f>IF(COUNT(D107:G107)&lt;4,"",SUM(D107:G107))</f>
        <v/>
      </c>
      <c r="I107" s="2" t="str">
        <f>IF(H107="","",IF(H107&gt;=16,"Healthy",IF(H107&gt;=11,"Watch","At risk")))</f>
        <v/>
      </c>
      <c r="J107" s="2"/>
    </row>
    <row r="108" spans="1:10">
      <c r="A108" s="2"/>
      <c r="B108" s="2"/>
      <c r="C108" s="3"/>
      <c r="D108" s="2"/>
      <c r="E108" s="2"/>
      <c r="F108" s="2"/>
      <c r="G108" s="2"/>
      <c r="H108" s="2" t="str">
        <f>IF(COUNT(D108:G108)&lt;4,"",SUM(D108:G108))</f>
        <v/>
      </c>
      <c r="I108" s="2" t="str">
        <f>IF(H108="","",IF(H108&gt;=16,"Healthy",IF(H108&gt;=11,"Watch","At risk")))</f>
        <v/>
      </c>
      <c r="J108" s="2"/>
    </row>
    <row r="109" spans="1:10">
      <c r="A109" s="2"/>
      <c r="B109" s="2"/>
      <c r="C109" s="3"/>
      <c r="D109" s="2"/>
      <c r="E109" s="2"/>
      <c r="F109" s="2"/>
      <c r="G109" s="2"/>
      <c r="H109" s="2" t="str">
        <f>IF(COUNT(D109:G109)&lt;4,"",SUM(D109:G109))</f>
        <v/>
      </c>
      <c r="I109" s="2" t="str">
        <f>IF(H109="","",IF(H109&gt;=16,"Healthy",IF(H109&gt;=11,"Watch","At risk")))</f>
        <v/>
      </c>
      <c r="J109" s="2"/>
    </row>
    <row r="110" spans="1:10">
      <c r="A110" s="2"/>
      <c r="B110" s="2"/>
      <c r="C110" s="3"/>
      <c r="D110" s="2"/>
      <c r="E110" s="2"/>
      <c r="F110" s="2"/>
      <c r="G110" s="2"/>
      <c r="H110" s="2" t="str">
        <f>IF(COUNT(D110:G110)&lt;4,"",SUM(D110:G110))</f>
        <v/>
      </c>
      <c r="I110" s="2" t="str">
        <f>IF(H110="","",IF(H110&gt;=16,"Healthy",IF(H110&gt;=11,"Watch","At risk")))</f>
        <v/>
      </c>
      <c r="J110" s="2"/>
    </row>
    <row r="111" spans="1:10">
      <c r="A111" s="2"/>
      <c r="B111" s="2"/>
      <c r="C111" s="3"/>
      <c r="D111" s="2"/>
      <c r="E111" s="2"/>
      <c r="F111" s="2"/>
      <c r="G111" s="2"/>
      <c r="H111" s="2" t="str">
        <f>IF(COUNT(D111:G111)&lt;4,"",SUM(D111:G111))</f>
        <v/>
      </c>
      <c r="I111" s="2" t="str">
        <f>IF(H111="","",IF(H111&gt;=16,"Healthy",IF(H111&gt;=11,"Watch","At risk")))</f>
        <v/>
      </c>
      <c r="J111" s="2"/>
    </row>
    <row r="112" spans="1:10">
      <c r="A112" s="2"/>
      <c r="B112" s="2"/>
      <c r="C112" s="3"/>
      <c r="D112" s="2"/>
      <c r="E112" s="2"/>
      <c r="F112" s="2"/>
      <c r="G112" s="2"/>
      <c r="H112" s="2" t="str">
        <f>IF(COUNT(D112:G112)&lt;4,"",SUM(D112:G112))</f>
        <v/>
      </c>
      <c r="I112" s="2" t="str">
        <f>IF(H112="","",IF(H112&gt;=16,"Healthy",IF(H112&gt;=11,"Watch","At risk")))</f>
        <v/>
      </c>
      <c r="J112" s="2"/>
    </row>
    <row r="113" spans="1:10">
      <c r="A113" s="2"/>
      <c r="B113" s="2"/>
      <c r="C113" s="3"/>
      <c r="D113" s="2"/>
      <c r="E113" s="2"/>
      <c r="F113" s="2"/>
      <c r="G113" s="2"/>
      <c r="H113" s="2" t="str">
        <f>IF(COUNT(D113:G113)&lt;4,"",SUM(D113:G113))</f>
        <v/>
      </c>
      <c r="I113" s="2" t="str">
        <f>IF(H113="","",IF(H113&gt;=16,"Healthy",IF(H113&gt;=11,"Watch","At risk")))</f>
        <v/>
      </c>
      <c r="J113" s="2"/>
    </row>
    <row r="114" spans="1:10">
      <c r="A114" s="2"/>
      <c r="B114" s="2"/>
      <c r="C114" s="3"/>
      <c r="D114" s="2"/>
      <c r="E114" s="2"/>
      <c r="F114" s="2"/>
      <c r="G114" s="2"/>
      <c r="H114" s="2" t="str">
        <f>IF(COUNT(D114:G114)&lt;4,"",SUM(D114:G114))</f>
        <v/>
      </c>
      <c r="I114" s="2" t="str">
        <f>IF(H114="","",IF(H114&gt;=16,"Healthy",IF(H114&gt;=11,"Watch","At risk")))</f>
        <v/>
      </c>
      <c r="J114" s="2"/>
    </row>
    <row r="115" spans="1:10">
      <c r="A115" s="2"/>
      <c r="B115" s="2"/>
      <c r="C115" s="3"/>
      <c r="D115" s="2"/>
      <c r="E115" s="2"/>
      <c r="F115" s="2"/>
      <c r="G115" s="2"/>
      <c r="H115" s="2" t="str">
        <f>IF(COUNT(D115:G115)&lt;4,"",SUM(D115:G115))</f>
        <v/>
      </c>
      <c r="I115" s="2" t="str">
        <f>IF(H115="","",IF(H115&gt;=16,"Healthy",IF(H115&gt;=11,"Watch","At risk")))</f>
        <v/>
      </c>
      <c r="J115" s="2"/>
    </row>
    <row r="116" spans="1:10">
      <c r="A116" s="2"/>
      <c r="B116" s="2"/>
      <c r="C116" s="3"/>
      <c r="D116" s="2"/>
      <c r="E116" s="2"/>
      <c r="F116" s="2"/>
      <c r="G116" s="2"/>
      <c r="H116" s="2" t="str">
        <f>IF(COUNT(D116:G116)&lt;4,"",SUM(D116:G116))</f>
        <v/>
      </c>
      <c r="I116" s="2" t="str">
        <f>IF(H116="","",IF(H116&gt;=16,"Healthy",IF(H116&gt;=11,"Watch","At risk")))</f>
        <v/>
      </c>
      <c r="J116" s="2"/>
    </row>
    <row r="117" spans="1:10">
      <c r="A117" s="2"/>
      <c r="B117" s="2"/>
      <c r="C117" s="3"/>
      <c r="D117" s="2"/>
      <c r="E117" s="2"/>
      <c r="F117" s="2"/>
      <c r="G117" s="2"/>
      <c r="H117" s="2" t="str">
        <f>IF(COUNT(D117:G117)&lt;4,"",SUM(D117:G117))</f>
        <v/>
      </c>
      <c r="I117" s="2" t="str">
        <f>IF(H117="","",IF(H117&gt;=16,"Healthy",IF(H117&gt;=11,"Watch","At risk")))</f>
        <v/>
      </c>
      <c r="J117" s="2"/>
    </row>
    <row r="118" spans="1:10">
      <c r="A118" s="2"/>
      <c r="B118" s="2"/>
      <c r="C118" s="3"/>
      <c r="D118" s="2"/>
      <c r="E118" s="2"/>
      <c r="F118" s="2"/>
      <c r="G118" s="2"/>
      <c r="H118" s="2" t="str">
        <f>IF(COUNT(D118:G118)&lt;4,"",SUM(D118:G118))</f>
        <v/>
      </c>
      <c r="I118" s="2" t="str">
        <f>IF(H118="","",IF(H118&gt;=16,"Healthy",IF(H118&gt;=11,"Watch","At risk")))</f>
        <v/>
      </c>
      <c r="J118" s="2"/>
    </row>
    <row r="119" spans="1:10">
      <c r="A119" s="2"/>
      <c r="B119" s="2"/>
      <c r="C119" s="3"/>
      <c r="D119" s="2"/>
      <c r="E119" s="2"/>
      <c r="F119" s="2"/>
      <c r="G119" s="2"/>
      <c r="H119" s="2" t="str">
        <f>IF(COUNT(D119:G119)&lt;4,"",SUM(D119:G119))</f>
        <v/>
      </c>
      <c r="I119" s="2" t="str">
        <f>IF(H119="","",IF(H119&gt;=16,"Healthy",IF(H119&gt;=11,"Watch","At risk")))</f>
        <v/>
      </c>
      <c r="J119" s="2"/>
    </row>
    <row r="120" spans="1:10">
      <c r="A120" s="2"/>
      <c r="B120" s="2"/>
      <c r="C120" s="3"/>
      <c r="D120" s="2"/>
      <c r="E120" s="2"/>
      <c r="F120" s="2"/>
      <c r="G120" s="2"/>
      <c r="H120" s="2" t="str">
        <f>IF(COUNT(D120:G120)&lt;4,"",SUM(D120:G120))</f>
        <v/>
      </c>
      <c r="I120" s="2" t="str">
        <f>IF(H120="","",IF(H120&gt;=16,"Healthy",IF(H120&gt;=11,"Watch","At risk")))</f>
        <v/>
      </c>
      <c r="J120" s="2"/>
    </row>
    <row r="121" spans="1:10">
      <c r="A121" s="2"/>
      <c r="B121" s="2"/>
      <c r="C121" s="3"/>
      <c r="D121" s="2"/>
      <c r="E121" s="2"/>
      <c r="F121" s="2"/>
      <c r="G121" s="2"/>
      <c r="H121" s="2" t="str">
        <f>IF(COUNT(D121:G121)&lt;4,"",SUM(D121:G121))</f>
        <v/>
      </c>
      <c r="I121" s="2" t="str">
        <f>IF(H121="","",IF(H121&gt;=16,"Healthy",IF(H121&gt;=11,"Watch","At risk")))</f>
        <v/>
      </c>
      <c r="J121" s="2"/>
    </row>
    <row r="122" spans="1:10">
      <c r="A122" s="2"/>
      <c r="B122" s="2"/>
      <c r="C122" s="3"/>
      <c r="D122" s="2"/>
      <c r="E122" s="2"/>
      <c r="F122" s="2"/>
      <c r="G122" s="2"/>
      <c r="H122" s="2" t="str">
        <f>IF(COUNT(D122:G122)&lt;4,"",SUM(D122:G122))</f>
        <v/>
      </c>
      <c r="I122" s="2" t="str">
        <f>IF(H122="","",IF(H122&gt;=16,"Healthy",IF(H122&gt;=11,"Watch","At risk")))</f>
        <v/>
      </c>
      <c r="J122" s="2"/>
    </row>
    <row r="123" spans="1:10">
      <c r="A123" s="2"/>
      <c r="B123" s="2"/>
      <c r="C123" s="3"/>
      <c r="D123" s="2"/>
      <c r="E123" s="2"/>
      <c r="F123" s="2"/>
      <c r="G123" s="2"/>
      <c r="H123" s="2" t="str">
        <f>IF(COUNT(D123:G123)&lt;4,"",SUM(D123:G123))</f>
        <v/>
      </c>
      <c r="I123" s="2" t="str">
        <f>IF(H123="","",IF(H123&gt;=16,"Healthy",IF(H123&gt;=11,"Watch","At risk")))</f>
        <v/>
      </c>
      <c r="J123" s="2"/>
    </row>
    <row r="124" spans="1:10">
      <c r="A124" s="2"/>
      <c r="B124" s="2"/>
      <c r="C124" s="3"/>
      <c r="D124" s="2"/>
      <c r="E124" s="2"/>
      <c r="F124" s="2"/>
      <c r="G124" s="2"/>
      <c r="H124" s="2" t="str">
        <f>IF(COUNT(D124:G124)&lt;4,"",SUM(D124:G124))</f>
        <v/>
      </c>
      <c r="I124" s="2" t="str">
        <f>IF(H124="","",IF(H124&gt;=16,"Healthy",IF(H124&gt;=11,"Watch","At risk")))</f>
        <v/>
      </c>
      <c r="J124" s="2"/>
    </row>
    <row r="125" spans="1:10">
      <c r="A125" s="2"/>
      <c r="B125" s="2"/>
      <c r="C125" s="3"/>
      <c r="D125" s="2"/>
      <c r="E125" s="2"/>
      <c r="F125" s="2"/>
      <c r="G125" s="2"/>
      <c r="H125" s="2" t="str">
        <f>IF(COUNT(D125:G125)&lt;4,"",SUM(D125:G125))</f>
        <v/>
      </c>
      <c r="I125" s="2" t="str">
        <f>IF(H125="","",IF(H125&gt;=16,"Healthy",IF(H125&gt;=11,"Watch","At risk")))</f>
        <v/>
      </c>
      <c r="J125" s="2"/>
    </row>
    <row r="126" spans="1:10">
      <c r="A126" s="2"/>
      <c r="B126" s="2"/>
      <c r="C126" s="3"/>
      <c r="D126" s="2"/>
      <c r="E126" s="2"/>
      <c r="F126" s="2"/>
      <c r="G126" s="2"/>
      <c r="H126" s="2" t="str">
        <f>IF(COUNT(D126:G126)&lt;4,"",SUM(D126:G126))</f>
        <v/>
      </c>
      <c r="I126" s="2" t="str">
        <f>IF(H126="","",IF(H126&gt;=16,"Healthy",IF(H126&gt;=11,"Watch","At risk")))</f>
        <v/>
      </c>
      <c r="J126" s="2"/>
    </row>
    <row r="127" spans="1:10">
      <c r="A127" s="2"/>
      <c r="B127" s="2"/>
      <c r="C127" s="3"/>
      <c r="D127" s="2"/>
      <c r="E127" s="2"/>
      <c r="F127" s="2"/>
      <c r="G127" s="2"/>
      <c r="H127" s="2" t="str">
        <f>IF(COUNT(D127:G127)&lt;4,"",SUM(D127:G127))</f>
        <v/>
      </c>
      <c r="I127" s="2" t="str">
        <f>IF(H127="","",IF(H127&gt;=16,"Healthy",IF(H127&gt;=11,"Watch","At risk")))</f>
        <v/>
      </c>
      <c r="J127" s="2"/>
    </row>
    <row r="128" spans="1:10">
      <c r="A128" s="2"/>
      <c r="B128" s="2"/>
      <c r="C128" s="3"/>
      <c r="D128" s="2"/>
      <c r="E128" s="2"/>
      <c r="F128" s="2"/>
      <c r="G128" s="2"/>
      <c r="H128" s="2" t="str">
        <f>IF(COUNT(D128:G128)&lt;4,"",SUM(D128:G128))</f>
        <v/>
      </c>
      <c r="I128" s="2" t="str">
        <f>IF(H128="","",IF(H128&gt;=16,"Healthy",IF(H128&gt;=11,"Watch","At risk")))</f>
        <v/>
      </c>
      <c r="J128" s="2"/>
    </row>
    <row r="129" spans="1:10">
      <c r="A129" s="2"/>
      <c r="B129" s="2"/>
      <c r="C129" s="3"/>
      <c r="D129" s="2"/>
      <c r="E129" s="2"/>
      <c r="F129" s="2"/>
      <c r="G129" s="2"/>
      <c r="H129" s="2" t="str">
        <f>IF(COUNT(D129:G129)&lt;4,"",SUM(D129:G129))</f>
        <v/>
      </c>
      <c r="I129" s="2" t="str">
        <f>IF(H129="","",IF(H129&gt;=16,"Healthy",IF(H129&gt;=11,"Watch","At risk")))</f>
        <v/>
      </c>
      <c r="J129" s="2"/>
    </row>
    <row r="130" spans="1:10">
      <c r="A130" s="2"/>
      <c r="B130" s="2"/>
      <c r="C130" s="3"/>
      <c r="D130" s="2"/>
      <c r="E130" s="2"/>
      <c r="F130" s="2"/>
      <c r="G130" s="2"/>
      <c r="H130" s="2" t="str">
        <f>IF(COUNT(D130:G130)&lt;4,"",SUM(D130:G130))</f>
        <v/>
      </c>
      <c r="I130" s="2" t="str">
        <f>IF(H130="","",IF(H130&gt;=16,"Healthy",IF(H130&gt;=11,"Watch","At risk")))</f>
        <v/>
      </c>
      <c r="J130" s="2"/>
    </row>
    <row r="131" spans="1:10">
      <c r="A131" s="2"/>
      <c r="B131" s="2"/>
      <c r="C131" s="3"/>
      <c r="D131" s="2"/>
      <c r="E131" s="2"/>
      <c r="F131" s="2"/>
      <c r="G131" s="2"/>
      <c r="H131" s="2" t="str">
        <f>IF(COUNT(D131:G131)&lt;4,"",SUM(D131:G131))</f>
        <v/>
      </c>
      <c r="I131" s="2" t="str">
        <f>IF(H131="","",IF(H131&gt;=16,"Healthy",IF(H131&gt;=11,"Watch","At risk")))</f>
        <v/>
      </c>
      <c r="J131" s="2"/>
    </row>
    <row r="132" spans="1:10">
      <c r="A132" s="2"/>
      <c r="B132" s="2"/>
      <c r="C132" s="3"/>
      <c r="D132" s="2"/>
      <c r="E132" s="2"/>
      <c r="F132" s="2"/>
      <c r="G132" s="2"/>
      <c r="H132" s="2" t="str">
        <f>IF(COUNT(D132:G132)&lt;4,"",SUM(D132:G132))</f>
        <v/>
      </c>
      <c r="I132" s="2" t="str">
        <f>IF(H132="","",IF(H132&gt;=16,"Healthy",IF(H132&gt;=11,"Watch","At risk")))</f>
        <v/>
      </c>
      <c r="J132" s="2"/>
    </row>
    <row r="133" spans="1:10">
      <c r="A133" s="2"/>
      <c r="B133" s="2"/>
      <c r="C133" s="3"/>
      <c r="D133" s="2"/>
      <c r="E133" s="2"/>
      <c r="F133" s="2"/>
      <c r="G133" s="2"/>
      <c r="H133" s="2" t="str">
        <f>IF(COUNT(D133:G133)&lt;4,"",SUM(D133:G133))</f>
        <v/>
      </c>
      <c r="I133" s="2" t="str">
        <f>IF(H133="","",IF(H133&gt;=16,"Healthy",IF(H133&gt;=11,"Watch","At risk")))</f>
        <v/>
      </c>
      <c r="J133" s="2"/>
    </row>
    <row r="134" spans="1:10">
      <c r="A134" s="2"/>
      <c r="B134" s="2"/>
      <c r="C134" s="3"/>
      <c r="D134" s="2"/>
      <c r="E134" s="2"/>
      <c r="F134" s="2"/>
      <c r="G134" s="2"/>
      <c r="H134" s="2" t="str">
        <f>IF(COUNT(D134:G134)&lt;4,"",SUM(D134:G134))</f>
        <v/>
      </c>
      <c r="I134" s="2" t="str">
        <f>IF(H134="","",IF(H134&gt;=16,"Healthy",IF(H134&gt;=11,"Watch","At risk")))</f>
        <v/>
      </c>
      <c r="J134" s="2"/>
    </row>
    <row r="135" spans="1:10">
      <c r="A135" s="2"/>
      <c r="B135" s="2"/>
      <c r="C135" s="3"/>
      <c r="D135" s="2"/>
      <c r="E135" s="2"/>
      <c r="F135" s="2"/>
      <c r="G135" s="2"/>
      <c r="H135" s="2" t="str">
        <f>IF(COUNT(D135:G135)&lt;4,"",SUM(D135:G135))</f>
        <v/>
      </c>
      <c r="I135" s="2" t="str">
        <f>IF(H135="","",IF(H135&gt;=16,"Healthy",IF(H135&gt;=11,"Watch","At risk")))</f>
        <v/>
      </c>
      <c r="J135" s="2"/>
    </row>
    <row r="136" spans="1:10">
      <c r="A136" s="2"/>
      <c r="B136" s="2"/>
      <c r="C136" s="3"/>
      <c r="D136" s="2"/>
      <c r="E136" s="2"/>
      <c r="F136" s="2"/>
      <c r="G136" s="2"/>
      <c r="H136" s="2" t="str">
        <f>IF(COUNT(D136:G136)&lt;4,"",SUM(D136:G136))</f>
        <v/>
      </c>
      <c r="I136" s="2" t="str">
        <f>IF(H136="","",IF(H136&gt;=16,"Healthy",IF(H136&gt;=11,"Watch","At risk")))</f>
        <v/>
      </c>
      <c r="J136" s="2"/>
    </row>
    <row r="137" spans="1:10">
      <c r="A137" s="2"/>
      <c r="B137" s="2"/>
      <c r="C137" s="3"/>
      <c r="D137" s="2"/>
      <c r="E137" s="2"/>
      <c r="F137" s="2"/>
      <c r="G137" s="2"/>
      <c r="H137" s="2" t="str">
        <f>IF(COUNT(D137:G137)&lt;4,"",SUM(D137:G137))</f>
        <v/>
      </c>
      <c r="I137" s="2" t="str">
        <f>IF(H137="","",IF(H137&gt;=16,"Healthy",IF(H137&gt;=11,"Watch","At risk")))</f>
        <v/>
      </c>
      <c r="J137" s="2"/>
    </row>
    <row r="138" spans="1:10">
      <c r="A138" s="2"/>
      <c r="B138" s="2"/>
      <c r="C138" s="3"/>
      <c r="D138" s="2"/>
      <c r="E138" s="2"/>
      <c r="F138" s="2"/>
      <c r="G138" s="2"/>
      <c r="H138" s="2" t="str">
        <f>IF(COUNT(D138:G138)&lt;4,"",SUM(D138:G138))</f>
        <v/>
      </c>
      <c r="I138" s="2" t="str">
        <f>IF(H138="","",IF(H138&gt;=16,"Healthy",IF(H138&gt;=11,"Watch","At risk")))</f>
        <v/>
      </c>
      <c r="J138" s="2"/>
    </row>
    <row r="139" spans="1:10">
      <c r="A139" s="2"/>
      <c r="B139" s="2"/>
      <c r="C139" s="3"/>
      <c r="D139" s="2"/>
      <c r="E139" s="2"/>
      <c r="F139" s="2"/>
      <c r="G139" s="2"/>
      <c r="H139" s="2" t="str">
        <f>IF(COUNT(D139:G139)&lt;4,"",SUM(D139:G139))</f>
        <v/>
      </c>
      <c r="I139" s="2" t="str">
        <f>IF(H139="","",IF(H139&gt;=16,"Healthy",IF(H139&gt;=11,"Watch","At risk")))</f>
        <v/>
      </c>
      <c r="J139" s="2"/>
    </row>
    <row r="140" spans="1:10">
      <c r="A140" s="2"/>
      <c r="B140" s="2"/>
      <c r="C140" s="3"/>
      <c r="D140" s="2"/>
      <c r="E140" s="2"/>
      <c r="F140" s="2"/>
      <c r="G140" s="2"/>
      <c r="H140" s="2" t="str">
        <f>IF(COUNT(D140:G140)&lt;4,"",SUM(D140:G140))</f>
        <v/>
      </c>
      <c r="I140" s="2" t="str">
        <f>IF(H140="","",IF(H140&gt;=16,"Healthy",IF(H140&gt;=11,"Watch","At risk")))</f>
        <v/>
      </c>
      <c r="J140" s="2"/>
    </row>
    <row r="141" spans="1:10">
      <c r="A141" s="2"/>
      <c r="B141" s="2"/>
      <c r="C141" s="3"/>
      <c r="D141" s="2"/>
      <c r="E141" s="2"/>
      <c r="F141" s="2"/>
      <c r="G141" s="2"/>
      <c r="H141" s="2" t="str">
        <f>IF(COUNT(D141:G141)&lt;4,"",SUM(D141:G141))</f>
        <v/>
      </c>
      <c r="I141" s="2" t="str">
        <f>IF(H141="","",IF(H141&gt;=16,"Healthy",IF(H141&gt;=11,"Watch","At risk")))</f>
        <v/>
      </c>
      <c r="J141" s="2"/>
    </row>
    <row r="142" spans="1:10">
      <c r="A142" s="2"/>
      <c r="B142" s="2"/>
      <c r="C142" s="3"/>
      <c r="D142" s="2"/>
      <c r="E142" s="2"/>
      <c r="F142" s="2"/>
      <c r="G142" s="2"/>
      <c r="H142" s="2" t="str">
        <f>IF(COUNT(D142:G142)&lt;4,"",SUM(D142:G142))</f>
        <v/>
      </c>
      <c r="I142" s="2" t="str">
        <f>IF(H142="","",IF(H142&gt;=16,"Healthy",IF(H142&gt;=11,"Watch","At risk")))</f>
        <v/>
      </c>
      <c r="J142" s="2"/>
    </row>
    <row r="143" spans="1:10">
      <c r="A143" s="2"/>
      <c r="B143" s="2"/>
      <c r="C143" s="3"/>
      <c r="D143" s="2"/>
      <c r="E143" s="2"/>
      <c r="F143" s="2"/>
      <c r="G143" s="2"/>
      <c r="H143" s="2" t="str">
        <f>IF(COUNT(D143:G143)&lt;4,"",SUM(D143:G143))</f>
        <v/>
      </c>
      <c r="I143" s="2" t="str">
        <f>IF(H143="","",IF(H143&gt;=16,"Healthy",IF(H143&gt;=11,"Watch","At risk")))</f>
        <v/>
      </c>
      <c r="J143" s="2"/>
    </row>
    <row r="144" spans="1:10">
      <c r="A144" s="2"/>
      <c r="B144" s="2"/>
      <c r="C144" s="3"/>
      <c r="D144" s="2"/>
      <c r="E144" s="2"/>
      <c r="F144" s="2"/>
      <c r="G144" s="2"/>
      <c r="H144" s="2" t="str">
        <f>IF(COUNT(D144:G144)&lt;4,"",SUM(D144:G144))</f>
        <v/>
      </c>
      <c r="I144" s="2" t="str">
        <f>IF(H144="","",IF(H144&gt;=16,"Healthy",IF(H144&gt;=11,"Watch","At risk")))</f>
        <v/>
      </c>
      <c r="J144" s="2"/>
    </row>
    <row r="145" spans="1:10">
      <c r="A145" s="2"/>
      <c r="B145" s="2"/>
      <c r="C145" s="3"/>
      <c r="D145" s="2"/>
      <c r="E145" s="2"/>
      <c r="F145" s="2"/>
      <c r="G145" s="2"/>
      <c r="H145" s="2" t="str">
        <f>IF(COUNT(D145:G145)&lt;4,"",SUM(D145:G145))</f>
        <v/>
      </c>
      <c r="I145" s="2" t="str">
        <f>IF(H145="","",IF(H145&gt;=16,"Healthy",IF(H145&gt;=11,"Watch","At risk")))</f>
        <v/>
      </c>
      <c r="J145" s="2"/>
    </row>
    <row r="146" spans="1:10">
      <c r="A146" s="2"/>
      <c r="B146" s="2"/>
      <c r="C146" s="3"/>
      <c r="D146" s="2"/>
      <c r="E146" s="2"/>
      <c r="F146" s="2"/>
      <c r="G146" s="2"/>
      <c r="H146" s="2" t="str">
        <f>IF(COUNT(D146:G146)&lt;4,"",SUM(D146:G146))</f>
        <v/>
      </c>
      <c r="I146" s="2" t="str">
        <f>IF(H146="","",IF(H146&gt;=16,"Healthy",IF(H146&gt;=11,"Watch","At risk")))</f>
        <v/>
      </c>
      <c r="J146" s="2"/>
    </row>
    <row r="147" spans="1:10">
      <c r="A147" s="2"/>
      <c r="B147" s="2"/>
      <c r="C147" s="3"/>
      <c r="D147" s="2"/>
      <c r="E147" s="2"/>
      <c r="F147" s="2"/>
      <c r="G147" s="2"/>
      <c r="H147" s="2" t="str">
        <f>IF(COUNT(D147:G147)&lt;4,"",SUM(D147:G147))</f>
        <v/>
      </c>
      <c r="I147" s="2" t="str">
        <f>IF(H147="","",IF(H147&gt;=16,"Healthy",IF(H147&gt;=11,"Watch","At risk")))</f>
        <v/>
      </c>
      <c r="J147" s="2"/>
    </row>
    <row r="148" spans="1:10">
      <c r="A148" s="2"/>
      <c r="B148" s="2"/>
      <c r="C148" s="3"/>
      <c r="D148" s="2"/>
      <c r="E148" s="2"/>
      <c r="F148" s="2"/>
      <c r="G148" s="2"/>
      <c r="H148" s="2" t="str">
        <f>IF(COUNT(D148:G148)&lt;4,"",SUM(D148:G148))</f>
        <v/>
      </c>
      <c r="I148" s="2" t="str">
        <f>IF(H148="","",IF(H148&gt;=16,"Healthy",IF(H148&gt;=11,"Watch","At risk")))</f>
        <v/>
      </c>
      <c r="J148" s="2"/>
    </row>
    <row r="149" spans="1:10">
      <c r="A149" s="2"/>
      <c r="B149" s="2"/>
      <c r="C149" s="3"/>
      <c r="D149" s="2"/>
      <c r="E149" s="2"/>
      <c r="F149" s="2"/>
      <c r="G149" s="2"/>
      <c r="H149" s="2" t="str">
        <f>IF(COUNT(D149:G149)&lt;4,"",SUM(D149:G149))</f>
        <v/>
      </c>
      <c r="I149" s="2" t="str">
        <f>IF(H149="","",IF(H149&gt;=16,"Healthy",IF(H149&gt;=11,"Watch","At risk")))</f>
        <v/>
      </c>
      <c r="J149" s="2"/>
    </row>
    <row r="150" spans="1:10">
      <c r="A150" s="2"/>
      <c r="B150" s="2"/>
      <c r="C150" s="3"/>
      <c r="D150" s="2"/>
      <c r="E150" s="2"/>
      <c r="F150" s="2"/>
      <c r="G150" s="2"/>
      <c r="H150" s="2" t="str">
        <f>IF(COUNT(D150:G150)&lt;4,"",SUM(D150:G150))</f>
        <v/>
      </c>
      <c r="I150" s="2" t="str">
        <f>IF(H150="","",IF(H150&gt;=16,"Healthy",IF(H150&gt;=11,"Watch","At risk")))</f>
        <v/>
      </c>
      <c r="J150" s="2"/>
    </row>
    <row r="151" spans="1:10">
      <c r="A151" s="2"/>
      <c r="B151" s="2"/>
      <c r="C151" s="3"/>
      <c r="D151" s="2"/>
      <c r="E151" s="2"/>
      <c r="F151" s="2"/>
      <c r="G151" s="2"/>
      <c r="H151" s="2" t="str">
        <f>IF(COUNT(D151:G151)&lt;4,"",SUM(D151:G151))</f>
        <v/>
      </c>
      <c r="I151" s="2" t="str">
        <f>IF(H151="","",IF(H151&gt;=16,"Healthy",IF(H151&gt;=11,"Watch","At risk")))</f>
        <v/>
      </c>
      <c r="J151" s="2"/>
    </row>
    <row r="152" spans="1:10">
      <c r="A152" s="2"/>
      <c r="B152" s="2"/>
      <c r="C152" s="3"/>
      <c r="D152" s="2"/>
      <c r="E152" s="2"/>
      <c r="F152" s="2"/>
      <c r="G152" s="2"/>
      <c r="H152" s="2" t="str">
        <f>IF(COUNT(D152:G152)&lt;4,"",SUM(D152:G152))</f>
        <v/>
      </c>
      <c r="I152" s="2" t="str">
        <f>IF(H152="","",IF(H152&gt;=16,"Healthy",IF(H152&gt;=11,"Watch","At risk")))</f>
        <v/>
      </c>
      <c r="J152" s="2"/>
    </row>
    <row r="153" spans="1:10">
      <c r="A153" s="2"/>
      <c r="B153" s="2"/>
      <c r="C153" s="3"/>
      <c r="D153" s="2"/>
      <c r="E153" s="2"/>
      <c r="F153" s="2"/>
      <c r="G153" s="2"/>
      <c r="H153" s="2" t="str">
        <f>IF(COUNT(D153:G153)&lt;4,"",SUM(D153:G153))</f>
        <v/>
      </c>
      <c r="I153" s="2" t="str">
        <f>IF(H153="","",IF(H153&gt;=16,"Healthy",IF(H153&gt;=11,"Watch","At risk")))</f>
        <v/>
      </c>
      <c r="J153" s="2"/>
    </row>
    <row r="154" spans="1:10">
      <c r="A154" s="2"/>
      <c r="B154" s="2"/>
      <c r="C154" s="3"/>
      <c r="D154" s="2"/>
      <c r="E154" s="2"/>
      <c r="F154" s="2"/>
      <c r="G154" s="2"/>
      <c r="H154" s="2" t="str">
        <f>IF(COUNT(D154:G154)&lt;4,"",SUM(D154:G154))</f>
        <v/>
      </c>
      <c r="I154" s="2" t="str">
        <f>IF(H154="","",IF(H154&gt;=16,"Healthy",IF(H154&gt;=11,"Watch","At risk")))</f>
        <v/>
      </c>
      <c r="J154" s="2"/>
    </row>
    <row r="155" spans="1:10">
      <c r="A155" s="2"/>
      <c r="B155" s="2"/>
      <c r="C155" s="3"/>
      <c r="D155" s="2"/>
      <c r="E155" s="2"/>
      <c r="F155" s="2"/>
      <c r="G155" s="2"/>
      <c r="H155" s="2" t="str">
        <f>IF(COUNT(D155:G155)&lt;4,"",SUM(D155:G155))</f>
        <v/>
      </c>
      <c r="I155" s="2" t="str">
        <f>IF(H155="","",IF(H155&gt;=16,"Healthy",IF(H155&gt;=11,"Watch","At risk")))</f>
        <v/>
      </c>
      <c r="J155" s="2"/>
    </row>
    <row r="156" spans="1:10">
      <c r="A156" s="2"/>
      <c r="B156" s="2"/>
      <c r="C156" s="3"/>
      <c r="D156" s="2"/>
      <c r="E156" s="2"/>
      <c r="F156" s="2"/>
      <c r="G156" s="2"/>
      <c r="H156" s="2" t="str">
        <f>IF(COUNT(D156:G156)&lt;4,"",SUM(D156:G156))</f>
        <v/>
      </c>
      <c r="I156" s="2" t="str">
        <f>IF(H156="","",IF(H156&gt;=16,"Healthy",IF(H156&gt;=11,"Watch","At risk")))</f>
        <v/>
      </c>
      <c r="J156" s="2"/>
    </row>
    <row r="157" spans="1:10">
      <c r="A157" s="2"/>
      <c r="B157" s="2"/>
      <c r="C157" s="3"/>
      <c r="D157" s="2"/>
      <c r="E157" s="2"/>
      <c r="F157" s="2"/>
      <c r="G157" s="2"/>
      <c r="H157" s="2" t="str">
        <f>IF(COUNT(D157:G157)&lt;4,"",SUM(D157:G157))</f>
        <v/>
      </c>
      <c r="I157" s="2" t="str">
        <f>IF(H157="","",IF(H157&gt;=16,"Healthy",IF(H157&gt;=11,"Watch","At risk")))</f>
        <v/>
      </c>
      <c r="J157" s="2"/>
    </row>
    <row r="158" spans="1:10">
      <c r="A158" s="2"/>
      <c r="B158" s="2"/>
      <c r="C158" s="3"/>
      <c r="D158" s="2"/>
      <c r="E158" s="2"/>
      <c r="F158" s="2"/>
      <c r="G158" s="2"/>
      <c r="H158" s="2" t="str">
        <f>IF(COUNT(D158:G158)&lt;4,"",SUM(D158:G158))</f>
        <v/>
      </c>
      <c r="I158" s="2" t="str">
        <f>IF(H158="","",IF(H158&gt;=16,"Healthy",IF(H158&gt;=11,"Watch","At risk")))</f>
        <v/>
      </c>
      <c r="J158" s="2"/>
    </row>
    <row r="159" spans="1:10">
      <c r="A159" s="2"/>
      <c r="B159" s="2"/>
      <c r="C159" s="3"/>
      <c r="D159" s="2"/>
      <c r="E159" s="2"/>
      <c r="F159" s="2"/>
      <c r="G159" s="2"/>
      <c r="H159" s="2" t="str">
        <f>IF(COUNT(D159:G159)&lt;4,"",SUM(D159:G159))</f>
        <v/>
      </c>
      <c r="I159" s="2" t="str">
        <f>IF(H159="","",IF(H159&gt;=16,"Healthy",IF(H159&gt;=11,"Watch","At risk")))</f>
        <v/>
      </c>
      <c r="J159" s="2"/>
    </row>
    <row r="160" spans="1:10">
      <c r="A160" s="2"/>
      <c r="B160" s="2"/>
      <c r="C160" s="3"/>
      <c r="D160" s="2"/>
      <c r="E160" s="2"/>
      <c r="F160" s="2"/>
      <c r="G160" s="2"/>
      <c r="H160" s="2" t="str">
        <f>IF(COUNT(D160:G160)&lt;4,"",SUM(D160:G160))</f>
        <v/>
      </c>
      <c r="I160" s="2" t="str">
        <f>IF(H160="","",IF(H160&gt;=16,"Healthy",IF(H160&gt;=11,"Watch","At risk")))</f>
        <v/>
      </c>
      <c r="J160" s="2"/>
    </row>
    <row r="161" spans="1:10">
      <c r="A161" s="2"/>
      <c r="B161" s="2"/>
      <c r="C161" s="3"/>
      <c r="D161" s="2"/>
      <c r="E161" s="2"/>
      <c r="F161" s="2"/>
      <c r="G161" s="2"/>
      <c r="H161" s="2" t="str">
        <f>IF(COUNT(D161:G161)&lt;4,"",SUM(D161:G161))</f>
        <v/>
      </c>
      <c r="I161" s="2" t="str">
        <f>IF(H161="","",IF(H161&gt;=16,"Healthy",IF(H161&gt;=11,"Watch","At risk")))</f>
        <v/>
      </c>
      <c r="J161" s="2"/>
    </row>
    <row r="162" spans="1:10">
      <c r="A162" s="2"/>
      <c r="B162" s="2"/>
      <c r="C162" s="3"/>
      <c r="D162" s="2"/>
      <c r="E162" s="2"/>
      <c r="F162" s="2"/>
      <c r="G162" s="2"/>
      <c r="H162" s="2" t="str">
        <f>IF(COUNT(D162:G162)&lt;4,"",SUM(D162:G162))</f>
        <v/>
      </c>
      <c r="I162" s="2" t="str">
        <f>IF(H162="","",IF(H162&gt;=16,"Healthy",IF(H162&gt;=11,"Watch","At risk")))</f>
        <v/>
      </c>
      <c r="J162" s="2"/>
    </row>
    <row r="163" spans="1:10">
      <c r="A163" s="2"/>
      <c r="B163" s="2"/>
      <c r="C163" s="3"/>
      <c r="D163" s="2"/>
      <c r="E163" s="2"/>
      <c r="F163" s="2"/>
      <c r="G163" s="2"/>
      <c r="H163" s="2" t="str">
        <f>IF(COUNT(D163:G163)&lt;4,"",SUM(D163:G163))</f>
        <v/>
      </c>
      <c r="I163" s="2" t="str">
        <f>IF(H163="","",IF(H163&gt;=16,"Healthy",IF(H163&gt;=11,"Watch","At risk")))</f>
        <v/>
      </c>
      <c r="J163" s="2"/>
    </row>
    <row r="164" spans="1:10">
      <c r="A164" s="2"/>
      <c r="B164" s="2"/>
      <c r="C164" s="3"/>
      <c r="D164" s="2"/>
      <c r="E164" s="2"/>
      <c r="F164" s="2"/>
      <c r="G164" s="2"/>
      <c r="H164" s="2" t="str">
        <f>IF(COUNT(D164:G164)&lt;4,"",SUM(D164:G164))</f>
        <v/>
      </c>
      <c r="I164" s="2" t="str">
        <f>IF(H164="","",IF(H164&gt;=16,"Healthy",IF(H164&gt;=11,"Watch","At risk")))</f>
        <v/>
      </c>
      <c r="J164" s="2"/>
    </row>
    <row r="165" spans="1:10">
      <c r="A165" s="2"/>
      <c r="B165" s="2"/>
      <c r="C165" s="3"/>
      <c r="D165" s="2"/>
      <c r="E165" s="2"/>
      <c r="F165" s="2"/>
      <c r="G165" s="2"/>
      <c r="H165" s="2" t="str">
        <f>IF(COUNT(D165:G165)&lt;4,"",SUM(D165:G165))</f>
        <v/>
      </c>
      <c r="I165" s="2" t="str">
        <f>IF(H165="","",IF(H165&gt;=16,"Healthy",IF(H165&gt;=11,"Watch","At risk")))</f>
        <v/>
      </c>
      <c r="J165" s="2"/>
    </row>
    <row r="166" spans="1:10">
      <c r="A166" s="2"/>
      <c r="B166" s="2"/>
      <c r="C166" s="3"/>
      <c r="D166" s="2"/>
      <c r="E166" s="2"/>
      <c r="F166" s="2"/>
      <c r="G166" s="2"/>
      <c r="H166" s="2" t="str">
        <f>IF(COUNT(D166:G166)&lt;4,"",SUM(D166:G166))</f>
        <v/>
      </c>
      <c r="I166" s="2" t="str">
        <f>IF(H166="","",IF(H166&gt;=16,"Healthy",IF(H166&gt;=11,"Watch","At risk")))</f>
        <v/>
      </c>
      <c r="J166" s="2"/>
    </row>
    <row r="167" spans="1:10">
      <c r="A167" s="2"/>
      <c r="B167" s="2"/>
      <c r="C167" s="3"/>
      <c r="D167" s="2"/>
      <c r="E167" s="2"/>
      <c r="F167" s="2"/>
      <c r="G167" s="2"/>
      <c r="H167" s="2" t="str">
        <f>IF(COUNT(D167:G167)&lt;4,"",SUM(D167:G167))</f>
        <v/>
      </c>
      <c r="I167" s="2" t="str">
        <f>IF(H167="","",IF(H167&gt;=16,"Healthy",IF(H167&gt;=11,"Watch","At risk")))</f>
        <v/>
      </c>
      <c r="J167" s="2"/>
    </row>
    <row r="168" spans="1:10">
      <c r="A168" s="2"/>
      <c r="B168" s="2"/>
      <c r="C168" s="3"/>
      <c r="D168" s="2"/>
      <c r="E168" s="2"/>
      <c r="F168" s="2"/>
      <c r="G168" s="2"/>
      <c r="H168" s="2" t="str">
        <f>IF(COUNT(D168:G168)&lt;4,"",SUM(D168:G168))</f>
        <v/>
      </c>
      <c r="I168" s="2" t="str">
        <f>IF(H168="","",IF(H168&gt;=16,"Healthy",IF(H168&gt;=11,"Watch","At risk")))</f>
        <v/>
      </c>
      <c r="J168" s="2"/>
    </row>
    <row r="169" spans="1:10">
      <c r="A169" s="2"/>
      <c r="B169" s="2"/>
      <c r="C169" s="3"/>
      <c r="D169" s="2"/>
      <c r="E169" s="2"/>
      <c r="F169" s="2"/>
      <c r="G169" s="2"/>
      <c r="H169" s="2" t="str">
        <f>IF(COUNT(D169:G169)&lt;4,"",SUM(D169:G169))</f>
        <v/>
      </c>
      <c r="I169" s="2" t="str">
        <f>IF(H169="","",IF(H169&gt;=16,"Healthy",IF(H169&gt;=11,"Watch","At risk")))</f>
        <v/>
      </c>
      <c r="J169" s="2"/>
    </row>
    <row r="170" spans="1:10">
      <c r="A170" s="2"/>
      <c r="B170" s="2"/>
      <c r="C170" s="3"/>
      <c r="D170" s="2"/>
      <c r="E170" s="2"/>
      <c r="F170" s="2"/>
      <c r="G170" s="2"/>
      <c r="H170" s="2" t="str">
        <f>IF(COUNT(D170:G170)&lt;4,"",SUM(D170:G170))</f>
        <v/>
      </c>
      <c r="I170" s="2" t="str">
        <f>IF(H170="","",IF(H170&gt;=16,"Healthy",IF(H170&gt;=11,"Watch","At risk")))</f>
        <v/>
      </c>
      <c r="J170" s="2"/>
    </row>
    <row r="171" spans="1:10">
      <c r="A171" s="2"/>
      <c r="B171" s="2"/>
      <c r="C171" s="3"/>
      <c r="D171" s="2"/>
      <c r="E171" s="2"/>
      <c r="F171" s="2"/>
      <c r="G171" s="2"/>
      <c r="H171" s="2" t="str">
        <f>IF(COUNT(D171:G171)&lt;4,"",SUM(D171:G171))</f>
        <v/>
      </c>
      <c r="I171" s="2" t="str">
        <f>IF(H171="","",IF(H171&gt;=16,"Healthy",IF(H171&gt;=11,"Watch","At risk")))</f>
        <v/>
      </c>
      <c r="J171" s="2"/>
    </row>
    <row r="172" spans="1:10">
      <c r="A172" s="2"/>
      <c r="B172" s="2"/>
      <c r="C172" s="3"/>
      <c r="D172" s="2"/>
      <c r="E172" s="2"/>
      <c r="F172" s="2"/>
      <c r="G172" s="2"/>
      <c r="H172" s="2" t="str">
        <f>IF(COUNT(D172:G172)&lt;4,"",SUM(D172:G172))</f>
        <v/>
      </c>
      <c r="I172" s="2" t="str">
        <f>IF(H172="","",IF(H172&gt;=16,"Healthy",IF(H172&gt;=11,"Watch","At risk")))</f>
        <v/>
      </c>
      <c r="J172" s="2"/>
    </row>
    <row r="173" spans="1:10">
      <c r="A173" s="2"/>
      <c r="B173" s="2"/>
      <c r="C173" s="3"/>
      <c r="D173" s="2"/>
      <c r="E173" s="2"/>
      <c r="F173" s="2"/>
      <c r="G173" s="2"/>
      <c r="H173" s="2" t="str">
        <f>IF(COUNT(D173:G173)&lt;4,"",SUM(D173:G173))</f>
        <v/>
      </c>
      <c r="I173" s="2" t="str">
        <f>IF(H173="","",IF(H173&gt;=16,"Healthy",IF(H173&gt;=11,"Watch","At risk")))</f>
        <v/>
      </c>
      <c r="J173" s="2"/>
    </row>
    <row r="174" spans="1:10">
      <c r="A174" s="2"/>
      <c r="B174" s="2"/>
      <c r="C174" s="3"/>
      <c r="D174" s="2"/>
      <c r="E174" s="2"/>
      <c r="F174" s="2"/>
      <c r="G174" s="2"/>
      <c r="H174" s="2" t="str">
        <f>IF(COUNT(D174:G174)&lt;4,"",SUM(D174:G174))</f>
        <v/>
      </c>
      <c r="I174" s="2" t="str">
        <f>IF(H174="","",IF(H174&gt;=16,"Healthy",IF(H174&gt;=11,"Watch","At risk")))</f>
        <v/>
      </c>
      <c r="J174" s="2"/>
    </row>
    <row r="175" spans="1:10">
      <c r="A175" s="2"/>
      <c r="B175" s="2"/>
      <c r="C175" s="3"/>
      <c r="D175" s="2"/>
      <c r="E175" s="2"/>
      <c r="F175" s="2"/>
      <c r="G175" s="2"/>
      <c r="H175" s="2" t="str">
        <f>IF(COUNT(D175:G175)&lt;4,"",SUM(D175:G175))</f>
        <v/>
      </c>
      <c r="I175" s="2" t="str">
        <f>IF(H175="","",IF(H175&gt;=16,"Healthy",IF(H175&gt;=11,"Watch","At risk")))</f>
        <v/>
      </c>
      <c r="J175" s="2"/>
    </row>
    <row r="176" spans="1:10">
      <c r="A176" s="2"/>
      <c r="B176" s="2"/>
      <c r="C176" s="3"/>
      <c r="D176" s="2"/>
      <c r="E176" s="2"/>
      <c r="F176" s="2"/>
      <c r="G176" s="2"/>
      <c r="H176" s="2" t="str">
        <f>IF(COUNT(D176:G176)&lt;4,"",SUM(D176:G176))</f>
        <v/>
      </c>
      <c r="I176" s="2" t="str">
        <f>IF(H176="","",IF(H176&gt;=16,"Healthy",IF(H176&gt;=11,"Watch","At risk")))</f>
        <v/>
      </c>
      <c r="J176" s="2"/>
    </row>
    <row r="177" spans="1:10">
      <c r="A177" s="2"/>
      <c r="B177" s="2"/>
      <c r="C177" s="3"/>
      <c r="D177" s="2"/>
      <c r="E177" s="2"/>
      <c r="F177" s="2"/>
      <c r="G177" s="2"/>
      <c r="H177" s="2" t="str">
        <f>IF(COUNT(D177:G177)&lt;4,"",SUM(D177:G177))</f>
        <v/>
      </c>
      <c r="I177" s="2" t="str">
        <f>IF(H177="","",IF(H177&gt;=16,"Healthy",IF(H177&gt;=11,"Watch","At risk")))</f>
        <v/>
      </c>
      <c r="J177" s="2"/>
    </row>
    <row r="178" spans="1:10">
      <c r="A178" s="2"/>
      <c r="B178" s="2"/>
      <c r="C178" s="3"/>
      <c r="D178" s="2"/>
      <c r="E178" s="2"/>
      <c r="F178" s="2"/>
      <c r="G178" s="2"/>
      <c r="H178" s="2" t="str">
        <f>IF(COUNT(D178:G178)&lt;4,"",SUM(D178:G178))</f>
        <v/>
      </c>
      <c r="I178" s="2" t="str">
        <f>IF(H178="","",IF(H178&gt;=16,"Healthy",IF(H178&gt;=11,"Watch","At risk")))</f>
        <v/>
      </c>
      <c r="J178" s="2"/>
    </row>
    <row r="179" spans="1:10">
      <c r="A179" s="2"/>
      <c r="B179" s="2"/>
      <c r="C179" s="3"/>
      <c r="D179" s="2"/>
      <c r="E179" s="2"/>
      <c r="F179" s="2"/>
      <c r="G179" s="2"/>
      <c r="H179" s="2" t="str">
        <f>IF(COUNT(D179:G179)&lt;4,"",SUM(D179:G179))</f>
        <v/>
      </c>
      <c r="I179" s="2" t="str">
        <f>IF(H179="","",IF(H179&gt;=16,"Healthy",IF(H179&gt;=11,"Watch","At risk")))</f>
        <v/>
      </c>
      <c r="J179" s="2"/>
    </row>
    <row r="180" spans="1:10">
      <c r="A180" s="2"/>
      <c r="B180" s="2"/>
      <c r="C180" s="3"/>
      <c r="D180" s="2"/>
      <c r="E180" s="2"/>
      <c r="F180" s="2"/>
      <c r="G180" s="2"/>
      <c r="H180" s="2" t="str">
        <f>IF(COUNT(D180:G180)&lt;4,"",SUM(D180:G180))</f>
        <v/>
      </c>
      <c r="I180" s="2" t="str">
        <f>IF(H180="","",IF(H180&gt;=16,"Healthy",IF(H180&gt;=11,"Watch","At risk")))</f>
        <v/>
      </c>
      <c r="J180" s="2"/>
    </row>
    <row r="181" spans="1:10">
      <c r="A181" s="2"/>
      <c r="B181" s="2"/>
      <c r="C181" s="3"/>
      <c r="D181" s="2"/>
      <c r="E181" s="2"/>
      <c r="F181" s="2"/>
      <c r="G181" s="2"/>
      <c r="H181" s="2" t="str">
        <f>IF(COUNT(D181:G181)&lt;4,"",SUM(D181:G181))</f>
        <v/>
      </c>
      <c r="I181" s="2" t="str">
        <f>IF(H181="","",IF(H181&gt;=16,"Healthy",IF(H181&gt;=11,"Watch","At risk")))</f>
        <v/>
      </c>
      <c r="J181" s="2"/>
    </row>
    <row r="182" spans="1:10">
      <c r="A182" s="2"/>
      <c r="B182" s="2"/>
      <c r="C182" s="3"/>
      <c r="D182" s="2"/>
      <c r="E182" s="2"/>
      <c r="F182" s="2"/>
      <c r="G182" s="2"/>
      <c r="H182" s="2" t="str">
        <f>IF(COUNT(D182:G182)&lt;4,"",SUM(D182:G182))</f>
        <v/>
      </c>
      <c r="I182" s="2" t="str">
        <f>IF(H182="","",IF(H182&gt;=16,"Healthy",IF(H182&gt;=11,"Watch","At risk")))</f>
        <v/>
      </c>
      <c r="J182" s="2"/>
    </row>
    <row r="183" spans="1:10">
      <c r="A183" s="2"/>
      <c r="B183" s="2"/>
      <c r="C183" s="3"/>
      <c r="D183" s="2"/>
      <c r="E183" s="2"/>
      <c r="F183" s="2"/>
      <c r="G183" s="2"/>
      <c r="H183" s="2" t="str">
        <f>IF(COUNT(D183:G183)&lt;4,"",SUM(D183:G183))</f>
        <v/>
      </c>
      <c r="I183" s="2" t="str">
        <f>IF(H183="","",IF(H183&gt;=16,"Healthy",IF(H183&gt;=11,"Watch","At risk")))</f>
        <v/>
      </c>
      <c r="J183" s="2"/>
    </row>
    <row r="184" spans="1:10">
      <c r="A184" s="2"/>
      <c r="B184" s="2"/>
      <c r="C184" s="3"/>
      <c r="D184" s="2"/>
      <c r="E184" s="2"/>
      <c r="F184" s="2"/>
      <c r="G184" s="2"/>
      <c r="H184" s="2" t="str">
        <f>IF(COUNT(D184:G184)&lt;4,"",SUM(D184:G184))</f>
        <v/>
      </c>
      <c r="I184" s="2" t="str">
        <f>IF(H184="","",IF(H184&gt;=16,"Healthy",IF(H184&gt;=11,"Watch","At risk")))</f>
        <v/>
      </c>
      <c r="J184" s="2"/>
    </row>
    <row r="185" spans="1:10">
      <c r="A185" s="2"/>
      <c r="B185" s="2"/>
      <c r="C185" s="3"/>
      <c r="D185" s="2"/>
      <c r="E185" s="2"/>
      <c r="F185" s="2"/>
      <c r="G185" s="2"/>
      <c r="H185" s="2" t="str">
        <f>IF(COUNT(D185:G185)&lt;4,"",SUM(D185:G185))</f>
        <v/>
      </c>
      <c r="I185" s="2" t="str">
        <f>IF(H185="","",IF(H185&gt;=16,"Healthy",IF(H185&gt;=11,"Watch","At risk")))</f>
        <v/>
      </c>
      <c r="J185" s="2"/>
    </row>
    <row r="186" spans="1:10">
      <c r="A186" s="2"/>
      <c r="B186" s="2"/>
      <c r="C186" s="3"/>
      <c r="D186" s="2"/>
      <c r="E186" s="2"/>
      <c r="F186" s="2"/>
      <c r="G186" s="2"/>
      <c r="H186" s="2" t="str">
        <f>IF(COUNT(D186:G186)&lt;4,"",SUM(D186:G186))</f>
        <v/>
      </c>
      <c r="I186" s="2" t="str">
        <f>IF(H186="","",IF(H186&gt;=16,"Healthy",IF(H186&gt;=11,"Watch","At risk")))</f>
        <v/>
      </c>
      <c r="J186" s="2"/>
    </row>
    <row r="187" spans="1:10">
      <c r="A187" s="2"/>
      <c r="B187" s="2"/>
      <c r="C187" s="3"/>
      <c r="D187" s="2"/>
      <c r="E187" s="2"/>
      <c r="F187" s="2"/>
      <c r="G187" s="2"/>
      <c r="H187" s="2" t="str">
        <f>IF(COUNT(D187:G187)&lt;4,"",SUM(D187:G187))</f>
        <v/>
      </c>
      <c r="I187" s="2" t="str">
        <f>IF(H187="","",IF(H187&gt;=16,"Healthy",IF(H187&gt;=11,"Watch","At risk")))</f>
        <v/>
      </c>
      <c r="J187" s="2"/>
    </row>
    <row r="188" spans="1:10">
      <c r="A188" s="2"/>
      <c r="B188" s="2"/>
      <c r="C188" s="3"/>
      <c r="D188" s="2"/>
      <c r="E188" s="2"/>
      <c r="F188" s="2"/>
      <c r="G188" s="2"/>
      <c r="H188" s="2" t="str">
        <f>IF(COUNT(D188:G188)&lt;4,"",SUM(D188:G188))</f>
        <v/>
      </c>
      <c r="I188" s="2" t="str">
        <f>IF(H188="","",IF(H188&gt;=16,"Healthy",IF(H188&gt;=11,"Watch","At risk")))</f>
        <v/>
      </c>
      <c r="J188" s="2"/>
    </row>
    <row r="189" spans="1:10">
      <c r="A189" s="2"/>
      <c r="B189" s="2"/>
      <c r="C189" s="3"/>
      <c r="D189" s="2"/>
      <c r="E189" s="2"/>
      <c r="F189" s="2"/>
      <c r="G189" s="2"/>
      <c r="H189" s="2" t="str">
        <f>IF(COUNT(D189:G189)&lt;4,"",SUM(D189:G189))</f>
        <v/>
      </c>
      <c r="I189" s="2" t="str">
        <f>IF(H189="","",IF(H189&gt;=16,"Healthy",IF(H189&gt;=11,"Watch","At risk")))</f>
        <v/>
      </c>
      <c r="J189" s="2"/>
    </row>
    <row r="190" spans="1:10">
      <c r="A190" s="2"/>
      <c r="B190" s="2"/>
      <c r="C190" s="3"/>
      <c r="D190" s="2"/>
      <c r="E190" s="2"/>
      <c r="F190" s="2"/>
      <c r="G190" s="2"/>
      <c r="H190" s="2" t="str">
        <f>IF(COUNT(D190:G190)&lt;4,"",SUM(D190:G190))</f>
        <v/>
      </c>
      <c r="I190" s="2" t="str">
        <f>IF(H190="","",IF(H190&gt;=16,"Healthy",IF(H190&gt;=11,"Watch","At risk")))</f>
        <v/>
      </c>
      <c r="J190" s="2"/>
    </row>
    <row r="191" spans="1:10">
      <c r="A191" s="2"/>
      <c r="B191" s="2"/>
      <c r="C191" s="3"/>
      <c r="D191" s="2"/>
      <c r="E191" s="2"/>
      <c r="F191" s="2"/>
      <c r="G191" s="2"/>
      <c r="H191" s="2" t="str">
        <f>IF(COUNT(D191:G191)&lt;4,"",SUM(D191:G191))</f>
        <v/>
      </c>
      <c r="I191" s="2" t="str">
        <f>IF(H191="","",IF(H191&gt;=16,"Healthy",IF(H191&gt;=11,"Watch","At risk")))</f>
        <v/>
      </c>
      <c r="J191" s="2"/>
    </row>
    <row r="192" spans="1:10">
      <c r="A192" s="2"/>
      <c r="B192" s="2"/>
      <c r="C192" s="3"/>
      <c r="D192" s="2"/>
      <c r="E192" s="2"/>
      <c r="F192" s="2"/>
      <c r="G192" s="2"/>
      <c r="H192" s="2" t="str">
        <f>IF(COUNT(D192:G192)&lt;4,"",SUM(D192:G192))</f>
        <v/>
      </c>
      <c r="I192" s="2" t="str">
        <f>IF(H192="","",IF(H192&gt;=16,"Healthy",IF(H192&gt;=11,"Watch","At risk")))</f>
        <v/>
      </c>
      <c r="J192" s="2"/>
    </row>
    <row r="193" spans="1:10">
      <c r="A193" s="2"/>
      <c r="B193" s="2"/>
      <c r="C193" s="3"/>
      <c r="D193" s="2"/>
      <c r="E193" s="2"/>
      <c r="F193" s="2"/>
      <c r="G193" s="2"/>
      <c r="H193" s="2" t="str">
        <f>IF(COUNT(D193:G193)&lt;4,"",SUM(D193:G193))</f>
        <v/>
      </c>
      <c r="I193" s="2" t="str">
        <f>IF(H193="","",IF(H193&gt;=16,"Healthy",IF(H193&gt;=11,"Watch","At risk")))</f>
        <v/>
      </c>
      <c r="J193" s="2"/>
    </row>
    <row r="194" spans="1:10">
      <c r="A194" s="2"/>
      <c r="B194" s="2"/>
      <c r="C194" s="3"/>
      <c r="D194" s="2"/>
      <c r="E194" s="2"/>
      <c r="F194" s="2"/>
      <c r="G194" s="2"/>
      <c r="H194" s="2" t="str">
        <f>IF(COUNT(D194:G194)&lt;4,"",SUM(D194:G194))</f>
        <v/>
      </c>
      <c r="I194" s="2" t="str">
        <f>IF(H194="","",IF(H194&gt;=16,"Healthy",IF(H194&gt;=11,"Watch","At risk")))</f>
        <v/>
      </c>
      <c r="J194" s="2"/>
    </row>
    <row r="195" spans="1:10">
      <c r="A195" s="2"/>
      <c r="B195" s="2"/>
      <c r="C195" s="3"/>
      <c r="D195" s="2"/>
      <c r="E195" s="2"/>
      <c r="F195" s="2"/>
      <c r="G195" s="2"/>
      <c r="H195" s="2" t="str">
        <f>IF(COUNT(D195:G195)&lt;4,"",SUM(D195:G195))</f>
        <v/>
      </c>
      <c r="I195" s="2" t="str">
        <f>IF(H195="","",IF(H195&gt;=16,"Healthy",IF(H195&gt;=11,"Watch","At risk")))</f>
        <v/>
      </c>
      <c r="J195" s="2"/>
    </row>
    <row r="196" spans="1:10">
      <c r="A196" s="2"/>
      <c r="B196" s="2"/>
      <c r="C196" s="3"/>
      <c r="D196" s="2"/>
      <c r="E196" s="2"/>
      <c r="F196" s="2"/>
      <c r="G196" s="2"/>
      <c r="H196" s="2" t="str">
        <f>IF(COUNT(D196:G196)&lt;4,"",SUM(D196:G196))</f>
        <v/>
      </c>
      <c r="I196" s="2" t="str">
        <f>IF(H196="","",IF(H196&gt;=16,"Healthy",IF(H196&gt;=11,"Watch","At risk")))</f>
        <v/>
      </c>
      <c r="J196" s="2"/>
    </row>
    <row r="197" spans="1:10">
      <c r="A197" s="2"/>
      <c r="B197" s="2"/>
      <c r="C197" s="3"/>
      <c r="D197" s="2"/>
      <c r="E197" s="2"/>
      <c r="F197" s="2"/>
      <c r="G197" s="2"/>
      <c r="H197" s="2" t="str">
        <f>IF(COUNT(D197:G197)&lt;4,"",SUM(D197:G197))</f>
        <v/>
      </c>
      <c r="I197" s="2" t="str">
        <f>IF(H197="","",IF(H197&gt;=16,"Healthy",IF(H197&gt;=11,"Watch","At risk")))</f>
        <v/>
      </c>
      <c r="J197" s="2"/>
    </row>
    <row r="198" spans="1:10">
      <c r="A198" s="2"/>
      <c r="B198" s="2"/>
      <c r="C198" s="3"/>
      <c r="D198" s="2"/>
      <c r="E198" s="2"/>
      <c r="F198" s="2"/>
      <c r="G198" s="2"/>
      <c r="H198" s="2" t="str">
        <f>IF(COUNT(D198:G198)&lt;4,"",SUM(D198:G198))</f>
        <v/>
      </c>
      <c r="I198" s="2" t="str">
        <f>IF(H198="","",IF(H198&gt;=16,"Healthy",IF(H198&gt;=11,"Watch","At risk")))</f>
        <v/>
      </c>
      <c r="J198" s="2"/>
    </row>
    <row r="199" spans="1:10">
      <c r="A199" s="2"/>
      <c r="B199" s="2"/>
      <c r="C199" s="3"/>
      <c r="D199" s="2"/>
      <c r="E199" s="2"/>
      <c r="F199" s="2"/>
      <c r="G199" s="2"/>
      <c r="H199" s="2" t="str">
        <f>IF(COUNT(D199:G199)&lt;4,"",SUM(D199:G199))</f>
        <v/>
      </c>
      <c r="I199" s="2" t="str">
        <f>IF(H199="","",IF(H199&gt;=16,"Healthy",IF(H199&gt;=11,"Watch","At risk")))</f>
        <v/>
      </c>
      <c r="J199" s="2"/>
    </row>
    <row r="200" spans="1:10">
      <c r="A200" s="2"/>
      <c r="B200" s="2"/>
      <c r="C200" s="3"/>
      <c r="D200" s="2"/>
      <c r="E200" s="2"/>
      <c r="F200" s="2"/>
      <c r="G200" s="2"/>
      <c r="H200" s="2" t="str">
        <f>IF(COUNT(D200:G200)&lt;4,"",SUM(D200:G200))</f>
        <v/>
      </c>
      <c r="I200" s="2" t="str">
        <f>IF(H200="","",IF(H200&gt;=16,"Healthy",IF(H200&gt;=11,"Watch","At risk")))</f>
        <v/>
      </c>
      <c r="J200" s="2"/>
    </row>
    <row r="201" spans="1:10">
      <c r="A201" s="2"/>
      <c r="B201" s="2"/>
      <c r="C201" s="3"/>
      <c r="D201" s="2"/>
      <c r="E201" s="2"/>
      <c r="F201" s="2"/>
      <c r="G201" s="2"/>
      <c r="H201" s="2" t="str">
        <f>IF(COUNT(D201:G201)&lt;4,"",SUM(D201:G201))</f>
        <v/>
      </c>
      <c r="I201" s="2" t="str">
        <f>IF(H201="","",IF(H201&gt;=16,"Healthy",IF(H201&gt;=11,"Watch","At risk")))</f>
        <v/>
      </c>
      <c r="J201" s="2"/>
    </row>
    <row r="202" spans="1:10">
      <c r="A202" s="2"/>
      <c r="B202" s="2"/>
      <c r="C202" s="3"/>
      <c r="D202" s="2"/>
      <c r="E202" s="2"/>
      <c r="F202" s="2"/>
      <c r="G202" s="2"/>
      <c r="H202" s="2" t="str">
        <f>IF(COUNT(D202:G202)&lt;4,"",SUM(D202:G202))</f>
        <v/>
      </c>
      <c r="I202" s="2" t="str">
        <f>IF(H202="","",IF(H202&gt;=16,"Healthy",IF(H202&gt;=11,"Watch","At risk")))</f>
        <v/>
      </c>
      <c r="J202" s="2"/>
    </row>
    <row r="203" spans="1:10">
      <c r="A203" s="2"/>
      <c r="B203" s="2"/>
      <c r="C203" s="3"/>
      <c r="D203" s="2"/>
      <c r="E203" s="2"/>
      <c r="F203" s="2"/>
      <c r="G203" s="2"/>
      <c r="H203" s="2" t="str">
        <f>IF(COUNT(D203:G203)&lt;4,"",SUM(D203:G203))</f>
        <v/>
      </c>
      <c r="I203" s="2" t="str">
        <f>IF(H203="","",IF(H203&gt;=16,"Healthy",IF(H203&gt;=11,"Watch","At risk")))</f>
        <v/>
      </c>
      <c r="J203" s="2"/>
    </row>
    <row r="204" spans="1:10">
      <c r="A204" s="2"/>
      <c r="B204" s="2"/>
      <c r="C204" s="3"/>
      <c r="D204" s="2"/>
      <c r="E204" s="2"/>
      <c r="F204" s="2"/>
      <c r="G204" s="2"/>
      <c r="H204" s="2" t="str">
        <f>IF(COUNT(D204:G204)&lt;4,"",SUM(D204:G204))</f>
        <v/>
      </c>
      <c r="I204" s="2" t="str">
        <f>IF(H204="","",IF(H204&gt;=16,"Healthy",IF(H204&gt;=11,"Watch","At risk")))</f>
        <v/>
      </c>
      <c r="J204" s="2"/>
    </row>
    <row r="205" spans="1:10">
      <c r="A205" s="2"/>
      <c r="B205" s="2"/>
      <c r="C205" s="3"/>
      <c r="D205" s="2"/>
      <c r="E205" s="2"/>
      <c r="F205" s="2"/>
      <c r="G205" s="2"/>
      <c r="H205" s="2" t="str">
        <f>IF(COUNT(D205:G205)&lt;4,"",SUM(D205:G205))</f>
        <v/>
      </c>
      <c r="I205" s="2" t="str">
        <f>IF(H205="","",IF(H205&gt;=16,"Healthy",IF(H205&gt;=11,"Watch","At risk")))</f>
        <v/>
      </c>
      <c r="J205" s="2"/>
    </row>
    <row r="206" spans="1:10">
      <c r="A206" s="2"/>
      <c r="B206" s="2"/>
      <c r="C206" s="3"/>
      <c r="D206" s="2"/>
      <c r="E206" s="2"/>
      <c r="F206" s="2"/>
      <c r="G206" s="2"/>
      <c r="H206" s="2" t="str">
        <f>IF(COUNT(D206:G206)&lt;4,"",SUM(D206:G206))</f>
        <v/>
      </c>
      <c r="I206" s="2" t="str">
        <f>IF(H206="","",IF(H206&gt;=16,"Healthy",IF(H206&gt;=11,"Watch","At risk")))</f>
        <v/>
      </c>
      <c r="J206" s="2"/>
    </row>
    <row r="207" spans="1:10">
      <c r="A207" s="2"/>
      <c r="B207" s="2"/>
      <c r="C207" s="3"/>
      <c r="D207" s="2"/>
      <c r="E207" s="2"/>
      <c r="F207" s="2"/>
      <c r="G207" s="2"/>
      <c r="H207" s="2" t="str">
        <f>IF(COUNT(D207:G207)&lt;4,"",SUM(D207:G207))</f>
        <v/>
      </c>
      <c r="I207" s="2" t="str">
        <f>IF(H207="","",IF(H207&gt;=16,"Healthy",IF(H207&gt;=11,"Watch","At risk")))</f>
        <v/>
      </c>
      <c r="J207" s="2"/>
    </row>
    <row r="208" spans="1:10">
      <c r="A208" s="2"/>
      <c r="B208" s="2"/>
      <c r="C208" s="3"/>
      <c r="D208" s="2"/>
      <c r="E208" s="2"/>
      <c r="F208" s="2"/>
      <c r="G208" s="2"/>
      <c r="H208" s="2" t="str">
        <f>IF(COUNT(D208:G208)&lt;4,"",SUM(D208:G208))</f>
        <v/>
      </c>
      <c r="I208" s="2" t="str">
        <f>IF(H208="","",IF(H208&gt;=16,"Healthy",IF(H208&gt;=11,"Watch","At risk")))</f>
        <v/>
      </c>
      <c r="J208" s="2"/>
    </row>
    <row r="209" spans="1:10">
      <c r="A209" s="2"/>
      <c r="B209" s="2"/>
      <c r="C209" s="3"/>
      <c r="D209" s="2"/>
      <c r="E209" s="2"/>
      <c r="F209" s="2"/>
      <c r="G209" s="2"/>
      <c r="H209" s="2" t="str">
        <f>IF(COUNT(D209:G209)&lt;4,"",SUM(D209:G209))</f>
        <v/>
      </c>
      <c r="I209" s="2" t="str">
        <f>IF(H209="","",IF(H209&gt;=16,"Healthy",IF(H209&gt;=11,"Watch","At risk")))</f>
        <v/>
      </c>
      <c r="J209" s="2"/>
    </row>
    <row r="210" spans="1:10">
      <c r="A210" s="2"/>
      <c r="B210" s="2"/>
      <c r="C210" s="3"/>
      <c r="D210" s="2"/>
      <c r="E210" s="2"/>
      <c r="F210" s="2"/>
      <c r="G210" s="2"/>
      <c r="H210" s="2" t="str">
        <f>IF(COUNT(D210:G210)&lt;4,"",SUM(D210:G210))</f>
        <v/>
      </c>
      <c r="I210" s="2" t="str">
        <f>IF(H210="","",IF(H210&gt;=16,"Healthy",IF(H210&gt;=11,"Watch","At risk")))</f>
        <v/>
      </c>
      <c r="J210" s="2"/>
    </row>
    <row r="211" spans="1:10">
      <c r="A211" s="2"/>
      <c r="B211" s="2"/>
      <c r="C211" s="3"/>
      <c r="D211" s="2"/>
      <c r="E211" s="2"/>
      <c r="F211" s="2"/>
      <c r="G211" s="2"/>
      <c r="H211" s="2" t="str">
        <f>IF(COUNT(D211:G211)&lt;4,"",SUM(D211:G211))</f>
        <v/>
      </c>
      <c r="I211" s="2" t="str">
        <f>IF(H211="","",IF(H211&gt;=16,"Healthy",IF(H211&gt;=11,"Watch","At risk")))</f>
        <v/>
      </c>
      <c r="J211" s="2"/>
    </row>
    <row r="212" spans="1:10">
      <c r="A212" s="2"/>
      <c r="B212" s="2"/>
      <c r="C212" s="3"/>
      <c r="D212" s="2"/>
      <c r="E212" s="2"/>
      <c r="F212" s="2"/>
      <c r="G212" s="2"/>
      <c r="H212" s="2" t="str">
        <f>IF(COUNT(D212:G212)&lt;4,"",SUM(D212:G212))</f>
        <v/>
      </c>
      <c r="I212" s="2" t="str">
        <f>IF(H212="","",IF(H212&gt;=16,"Healthy",IF(H212&gt;=11,"Watch","At risk")))</f>
        <v/>
      </c>
      <c r="J212" s="2"/>
    </row>
    <row r="213" spans="1:10">
      <c r="A213" s="2"/>
      <c r="B213" s="2"/>
      <c r="C213" s="3"/>
      <c r="D213" s="2"/>
      <c r="E213" s="2"/>
      <c r="F213" s="2"/>
      <c r="G213" s="2"/>
      <c r="H213" s="2" t="str">
        <f>IF(COUNT(D213:G213)&lt;4,"",SUM(D213:G213))</f>
        <v/>
      </c>
      <c r="I213" s="2" t="str">
        <f>IF(H213="","",IF(H213&gt;=16,"Healthy",IF(H213&gt;=11,"Watch","At risk")))</f>
        <v/>
      </c>
      <c r="J213" s="2"/>
    </row>
    <row r="214" spans="1:10">
      <c r="A214" s="2"/>
      <c r="B214" s="2"/>
      <c r="C214" s="3"/>
      <c r="D214" s="2"/>
      <c r="E214" s="2"/>
      <c r="F214" s="2"/>
      <c r="G214" s="2"/>
      <c r="H214" s="2" t="str">
        <f>IF(COUNT(D214:G214)&lt;4,"",SUM(D214:G214))</f>
        <v/>
      </c>
      <c r="I214" s="2" t="str">
        <f>IF(H214="","",IF(H214&gt;=16,"Healthy",IF(H214&gt;=11,"Watch","At risk")))</f>
        <v/>
      </c>
      <c r="J214" s="2"/>
    </row>
    <row r="215" spans="1:10">
      <c r="A215" s="2"/>
      <c r="B215" s="2"/>
      <c r="C215" s="3"/>
      <c r="D215" s="2"/>
      <c r="E215" s="2"/>
      <c r="F215" s="2"/>
      <c r="G215" s="2"/>
      <c r="H215" s="2" t="str">
        <f>IF(COUNT(D215:G215)&lt;4,"",SUM(D215:G215))</f>
        <v/>
      </c>
      <c r="I215" s="2" t="str">
        <f>IF(H215="","",IF(H215&gt;=16,"Healthy",IF(H215&gt;=11,"Watch","At risk")))</f>
        <v/>
      </c>
      <c r="J215" s="2"/>
    </row>
    <row r="216" spans="1:10">
      <c r="A216" s="2"/>
      <c r="B216" s="2"/>
      <c r="C216" s="3"/>
      <c r="D216" s="2"/>
      <c r="E216" s="2"/>
      <c r="F216" s="2"/>
      <c r="G216" s="2"/>
      <c r="H216" s="2" t="str">
        <f>IF(COUNT(D216:G216)&lt;4,"",SUM(D216:G216))</f>
        <v/>
      </c>
      <c r="I216" s="2" t="str">
        <f>IF(H216="","",IF(H216&gt;=16,"Healthy",IF(H216&gt;=11,"Watch","At risk")))</f>
        <v/>
      </c>
      <c r="J216" s="2"/>
    </row>
    <row r="217" spans="1:10">
      <c r="A217" s="2"/>
      <c r="B217" s="2"/>
      <c r="C217" s="3"/>
      <c r="D217" s="2"/>
      <c r="E217" s="2"/>
      <c r="F217" s="2"/>
      <c r="G217" s="2"/>
      <c r="H217" s="2" t="str">
        <f>IF(COUNT(D217:G217)&lt;4,"",SUM(D217:G217))</f>
        <v/>
      </c>
      <c r="I217" s="2" t="str">
        <f>IF(H217="","",IF(H217&gt;=16,"Healthy",IF(H217&gt;=11,"Watch","At risk")))</f>
        <v/>
      </c>
      <c r="J217" s="2"/>
    </row>
  </sheetData>
  <autoFilter ref="A17:J217" xr:uid="{00000000-0009-0000-0000-000005000000}"/>
  <mergeCells count="33">
    <mergeCell ref="A15:C15"/>
    <mergeCell ref="D15:F15"/>
    <mergeCell ref="D11:F11"/>
    <mergeCell ref="G12:H12"/>
    <mergeCell ref="D13:F13"/>
    <mergeCell ref="D14:F14"/>
    <mergeCell ref="G15:H15"/>
    <mergeCell ref="I15:J15"/>
    <mergeCell ref="G11:H11"/>
    <mergeCell ref="I11:J11"/>
    <mergeCell ref="C4:E4"/>
    <mergeCell ref="I13:J13"/>
    <mergeCell ref="F4:H4"/>
    <mergeCell ref="I5:J5"/>
    <mergeCell ref="A7:J7"/>
    <mergeCell ref="G14:H14"/>
    <mergeCell ref="I14:J14"/>
    <mergeCell ref="A4:B4"/>
    <mergeCell ref="I4:J4"/>
    <mergeCell ref="A11:C11"/>
    <mergeCell ref="C5:E5"/>
    <mergeCell ref="A14:C14"/>
    <mergeCell ref="D12:F12"/>
    <mergeCell ref="A2:J2"/>
    <mergeCell ref="A1:J1"/>
    <mergeCell ref="I12:J12"/>
    <mergeCell ref="A13:C13"/>
    <mergeCell ref="A12:C12"/>
    <mergeCell ref="A10:J10"/>
    <mergeCell ref="F5:H5"/>
    <mergeCell ref="A8:J8"/>
    <mergeCell ref="A5:B5"/>
    <mergeCell ref="G13:H13"/>
  </mergeCells>
  <conditionalFormatting sqref="I18:I217">
    <cfRule type="cellIs" dxfId="5" priority="1" operator="equal">
      <formula>"Healthy"</formula>
    </cfRule>
    <cfRule type="cellIs" dxfId="4" priority="2" operator="equal">
      <formula>"Watch"</formula>
    </cfRule>
    <cfRule type="cellIs" dxfId="3" priority="3" operator="equal">
      <formula>"At risk"</formula>
    </cfRule>
  </conditionalFormatting>
  <conditionalFormatting sqref="A18:J217">
    <cfRule type="expression" dxfId="2" priority="4">
      <formula>MOD(ROW(),2)=0</formula>
    </cfRule>
  </conditionalFormatting>
  <conditionalFormatting sqref="C5">
    <cfRule type="cellIs" dxfId="1" priority="5" operator="greaterThan">
      <formula>0</formula>
    </cfRule>
  </conditionalFormatting>
  <conditionalFormatting sqref="F5">
    <cfRule type="cellIs" dxfId="0" priority="6" operator="greaterThan">
      <formula>0</formula>
    </cfRule>
  </conditionalFormatting>
  <dataValidations count="1">
    <dataValidation type="list" allowBlank="1" sqref="D18:G217" xr:uid="{00000000-0002-0000-0500-000000000000}">
      <formula1>"1,2,3,4,5"</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2026-10-13T15:10:08Z</dcterms:created>
  <dcterms:modified xsi:type="dcterms:W3CDTF">2026-10-13T15:55:47Z</dcterms:modified>
  <cp:category/>
  <cp:contentStatus/>
</cp:coreProperties>
</file>